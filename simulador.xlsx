
<file path=[Content_Types].xml><?xml version="1.0" encoding="utf-8"?>
<Types xmlns="http://schemas.openxmlformats.org/package/2006/content-types">
  <Default ContentType="application/vnd.ms-office.vbaProject" Extension="bin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3" sheetId="1" r:id="rId5"/>
    <sheet state="visible" name="vers" sheetId="2" r:id="rId6"/>
    <sheet state="visible" name="versf" sheetId="3" r:id="rId7"/>
    <sheet state="visible" name="Ejecutivo MI &gt; a 4 meses-Ppal" sheetId="4" r:id="rId8"/>
    <sheet state="visible" name="Ejecutivo MI &gt; a 4 meses-Inter" sheetId="5" r:id="rId9"/>
    <sheet state="visible" name="Ejecutivo MI &lt;= 4 meses-Ppal" sheetId="6" r:id="rId10"/>
    <sheet state="visible" name="Ejecutivo MI &lt;= 4 meses-Inter" sheetId="7" r:id="rId11"/>
  </sheets>
  <externalReferences>
    <externalReference r:id="rId12"/>
  </externalReferences>
  <definedNames/>
  <calcPr/>
</workbook>
</file>

<file path=xl/sharedStrings.xml><?xml version="1.0" encoding="utf-8"?>
<sst xmlns="http://schemas.openxmlformats.org/spreadsheetml/2006/main" count="182" uniqueCount="66">
  <si>
    <t>Nombre</t>
  </si>
  <si>
    <t>Ciudad</t>
  </si>
  <si>
    <t>Cedula(ID vendedor)</t>
  </si>
  <si>
    <t>Cuota cumplimiento</t>
  </si>
  <si>
    <t>Paquete</t>
  </si>
  <si>
    <t>Cuota estado actual</t>
  </si>
  <si>
    <t>Cuanto quiero</t>
  </si>
  <si>
    <t>Tiempo</t>
  </si>
  <si>
    <t>%cumplimiento</t>
  </si>
  <si>
    <t>te falta</t>
  </si>
  <si>
    <t>Principal</t>
  </si>
  <si>
    <t>VentasOro</t>
  </si>
  <si>
    <t>Mas de 4 meses</t>
  </si>
  <si>
    <t>Acelerador plan asociado</t>
  </si>
  <si>
    <t>Tipo ciudad</t>
  </si>
  <si>
    <t>Cuotas ventas oro</t>
  </si>
  <si>
    <t>Cuota Pago anticipado Semestre</t>
  </si>
  <si>
    <t>Cuota pago anticipado año</t>
  </si>
  <si>
    <t>Cuota anticipado trimestre</t>
  </si>
  <si>
    <t>Cuota plan asociado</t>
  </si>
  <si>
    <t>Tipo colectivo</t>
  </si>
  <si>
    <t>cuota colectivo</t>
  </si>
  <si>
    <t>Cuanto he vendido</t>
  </si>
  <si>
    <t>Cuanto tengo</t>
  </si>
  <si>
    <t>Cumplimiento comision</t>
  </si>
  <si>
    <t>Cumplimiento%</t>
  </si>
  <si>
    <t>%cumplimiento CQ</t>
  </si>
  <si>
    <t># de ventas</t>
  </si>
  <si>
    <t># te falta</t>
  </si>
  <si>
    <t>BOGOTA</t>
  </si>
  <si>
    <t>BROKER Y EXTERNOS</t>
  </si>
  <si>
    <t>MAS DE 4 MESES</t>
  </si>
  <si>
    <t>Acelerador # plan asociado</t>
  </si>
  <si>
    <t>Acelerador #plan oro</t>
  </si>
  <si>
    <t>#no utilizar la macro por ahora</t>
  </si>
  <si>
    <t>*</t>
  </si>
  <si>
    <t>cuanto quiero</t>
  </si>
  <si>
    <t>%cumplimiento CQ comi</t>
  </si>
  <si>
    <t>cali</t>
  </si>
  <si>
    <t>Acelerador</t>
  </si>
  <si>
    <t>Acelerador Plan Asociado</t>
  </si>
  <si>
    <t>Indicador</t>
  </si>
  <si>
    <t>Comision</t>
  </si>
  <si>
    <t>Rang inf</t>
  </si>
  <si>
    <t>Rang sup</t>
  </si>
  <si>
    <t>Pago Anticipado Año</t>
  </si>
  <si>
    <t>Pago Anticipado Semestre</t>
  </si>
  <si>
    <t>Pago Anticipado Trimestre</t>
  </si>
  <si>
    <t>o más</t>
  </si>
  <si>
    <t>Meta co</t>
  </si>
  <si>
    <t>Meta usu</t>
  </si>
  <si>
    <t>Pago con debito automatico</t>
  </si>
  <si>
    <t>Tabla 2</t>
  </si>
  <si>
    <t>Principales</t>
  </si>
  <si>
    <t>Ventas Oro, Oro Plus, Oro Prime (5 usuarios o más)</t>
  </si>
  <si>
    <t>Otras</t>
  </si>
  <si>
    <t>Tabla 1</t>
  </si>
  <si>
    <t>Ingreso</t>
  </si>
  <si>
    <t xml:space="preserve">Cumplimiento% </t>
  </si>
  <si>
    <t>% Comisión</t>
  </si>
  <si>
    <t>valor comision</t>
  </si>
  <si>
    <t>%Comision con acele</t>
  </si>
  <si>
    <t>valor comision acelerador</t>
  </si>
  <si>
    <t>%</t>
  </si>
  <si>
    <t>ingreso en #U</t>
  </si>
  <si>
    <t>Intermedio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</si>
</sst>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&quot;$&quot;\ * #,##0.000_-;\-&quot;$&quot;\ * #,##0.000_-;_-&quot;$&quot;\ * &quot;-&quot;??_-;_-@"/>
    <numFmt numFmtId="165" formatCode="&quot;$&quot;\ #,##0"/>
  </numFmts>
  <fonts count="7">
    <font>
      <sz val="11.0"/>
      <color/>
      <name val="Arial"/>
      <scheme val="minor"/>
    </font>
    <font>
      <sz val="11.0"/>
      <color/>
      <name val="Aptos Narrow"/>
    </font>
    <font/>
    <font>
      <b/>
      <sz val="11.0"/>
      <color rgb="FFFFFFFF"/>
      <name val="Arial"/>
    </font>
    <font>
      <b/>
      <sz val="11.0"/>
      <color/>
      <name val="Aptos Narrow"/>
    </font>
    <font>
      <sz val="11.0"/>
      <color rgb="FF464749"/>
      <name val="Arial"/>
    </font>
    <font>
      <sz val="11.0"/>
      <color rgb="FF7F7F7F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1E565F"/>
        <bgColor rgb="FF1E565F"/>
      </patternFill>
    </fill>
    <fill>
      <patternFill patternType="solid">
        <fgColor rgb="FFC1E4F5"/>
        <bgColor rgb="FFC1E4F5"/>
      </patternFill>
    </fill>
  </fills>
  <borders count="6">
    <border/>
    <border>
      <left style="thin">
        <color/>
      </left>
      <top style="thin">
        <color/>
      </top>
      <bottom style="thin">
        <color/>
      </bottom>
    </border>
    <border>
      <top style="thin">
        <color/>
      </top>
      <bottom style="thin">
        <color/>
      </bottom>
    </border>
    <border>
      <right style="thin">
        <color/>
      </right>
      <top style="thin">
        <color/>
      </top>
      <bottom style="thin">
        <color/>
      </bottom>
    </border>
    <border>
      <left/>
      <right/>
      <top/>
      <bottom/>
    </border>
    <border>
      <left style="thin">
        <color/>
      </left>
      <right style="thin">
        <color/>
      </right>
      <top style="thin">
        <color/>
      </top>
      <bottom style="thin">
        <color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2" xfId="0" applyFont="1" applyNumberFormat="1"/>
    <xf borderId="0" fillId="0" fontId="1" numFmtId="10" xfId="0" applyFont="1" applyNumberFormat="1"/>
    <xf borderId="0" fillId="0" fontId="2" numFmtId="2" xfId="0" applyFont="1" applyNumberFormat="1"/>
    <xf borderId="0" fillId="0" fontId="2" numFmtId="10" xfId="0" applyFont="1" applyNumberFormat="1"/>
    <xf borderId="1" fillId="2" fontId="3" numFmtId="0" xfId="0" applyAlignment="1" applyBorder="1" applyFill="1" applyFont="1">
      <alignment horizontal="center" readingOrder="1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readingOrder="1" shrinkToFit="0" vertical="center" wrapText="1"/>
    </xf>
    <xf borderId="1" fillId="3" fontId="4" numFmtId="16" xfId="0" applyAlignment="1" applyBorder="1" applyFill="1" applyFont="1" applyNumberFormat="1">
      <alignment horizontal="center" vertical="center"/>
    </xf>
    <xf borderId="5" fillId="3" fontId="4" numFmtId="16" xfId="0" applyAlignment="1" applyBorder="1" applyFont="1" applyNumberFormat="1">
      <alignment horizontal="center" vertical="center"/>
    </xf>
    <xf borderId="4" fillId="0" fontId="1" numFmtId="0" xfId="0" applyBorder="1" applyFont="1"/>
    <xf borderId="1" fillId="0" fontId="5" numFmtId="164" xfId="0" applyAlignment="1" applyBorder="1" applyFont="1" applyNumberFormat="1">
      <alignment horizontal="left" readingOrder="1" shrinkToFit="0" vertical="center" wrapText="1"/>
    </xf>
    <xf borderId="5" fillId="0" fontId="5" numFmtId="9" xfId="0" applyAlignment="1" applyBorder="1" applyFont="1" applyNumberFormat="1">
      <alignment horizontal="center" readingOrder="1" shrinkToFit="0" vertical="center" wrapText="1"/>
    </xf>
    <xf borderId="5" fillId="0" fontId="5" numFmtId="0" xfId="0" applyAlignment="1" applyBorder="1" applyFont="1">
      <alignment horizontal="center" readingOrder="1" shrinkToFit="0" vertical="center" wrapText="1"/>
    </xf>
    <xf borderId="0" fillId="0" fontId="6" numFmtId="0" xfId="0" applyFont="1"/>
    <xf borderId="0" fillId="0" fontId="4" numFmtId="165" xfId="0" applyFont="1" applyNumberForma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06/relationships/vbaProject" Target="vbaProject.bin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externalLink" Target="externalLinks/externalLink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267578998040093"/>
          <c:y val="0.09722222222222222"/>
          <c:w val="0.8964746281714786"/>
          <c:h val="0.8187350539515894"/>
        </c:manualLayout>
      </c:layout>
      <c:lineChart>
        <c:varyColors val="0"/>
        <c:ser>
          <c:idx val="0"/>
          <c:order val="0"/>
          <c:tx>
            <c:v>2,273015873 2,283015873 2,293015873 2,303015873 2,313015873 2,323015873 2,333015873 2,343015873 2,353015873 2,363015873 2,373015873 2,383015873</c:v>
          </c:tx>
          <c:spPr>
            <a:ln cmpd="sng" w="28575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'Ejecutivo MI &lt;= 4 meses-Ppal'!$D$158:$D$160</c:f>
              <c:numCache/>
            </c:numRef>
          </c:val>
          <c:smooth val="0"/>
        </c:ser>
        <c:axId val="664877740"/>
        <c:axId val="993762501"/>
      </c:lineChart>
      <c:catAx>
        <c:axId val="6648777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3762501"/>
      </c:catAx>
      <c:valAx>
        <c:axId val="99376250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6487774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1826837270341208"/>
          <c:y val="0.027777777777777776"/>
          <c:w val="0.8206412948381452"/>
          <c:h val="0.8420450568678916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'Ejecutivo MI &lt;= 4 meses-Inter'!$C$17:$C$184</c:f>
            </c:numRef>
          </c:xVal>
          <c:yVal>
            <c:numRef>
              <c:f>'Ejecutivo MI &lt;= 4 meses-Inter'!$H$17:$H$184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8188298"/>
        <c:axId val="105543518"/>
      </c:scatterChart>
      <c:valAx>
        <c:axId val="188818829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5543518"/>
      </c:valAx>
      <c:valAx>
        <c:axId val="10554351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88188298"/>
      </c:valAx>
    </c:plotArea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1019175</xdr:colOff>
      <xdr:row>6</xdr:row>
      <xdr:rowOff>57150</xdr:rowOff>
    </xdr:from>
    <xdr:ext cx="1485900" cy="685800"/>
    <xdr:sp macro="[0]!ConsultarCedula" textlink="">
      <xdr:nvSpPr>
        <xdr:cNvPr id="2" name="Rectángulo 1">
          <a:extLst>
            <a:ext uri="{FF2B5EF4-FFF2-40B4-BE49-F238E27FC236}"/>
          </a:extLst>
        </xdr:cNvPr>
        <xdr:cNvSpPr/>
      </xdr:nvSpPr>
      <xdr:spPr>
        <a:xfrm>
          <a:off x="8629650" y="1200150"/>
          <a:ext cx="1485900" cy="657225"/>
        </a:xfrm>
        <a:prstGeom prst="rect">
          <a:avLst/>
        </a:prstGeom>
        <a:solidFill>
          <a:schemeClr val="accent1"/>
        </a:solidFill>
        <a:ln cap="flat" cmpd="sng" w="1905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r>
            <a:rPr lang="es-CO" sz="1100"/>
            <a:t>Consultar</a:t>
          </a: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1019175</xdr:colOff>
      <xdr:row>6</xdr:row>
      <xdr:rowOff>57150</xdr:rowOff>
    </xdr:from>
    <xdr:ext cx="1400175" cy="685800"/>
    <xdr:sp macro="[0]!ConsultarCedula" textlink="">
      <xdr:nvSpPr>
        <xdr:cNvPr id="2" name="Rectángulo 1">
          <a:extLst>
            <a:ext uri="{FF2B5EF4-FFF2-40B4-BE49-F238E27FC236}"/>
          </a:extLst>
        </xdr:cNvPr>
        <xdr:cNvSpPr/>
      </xdr:nvSpPr>
      <xdr:spPr>
        <a:xfrm>
          <a:off x="9953625" y="1200150"/>
          <a:ext cx="1485900" cy="657225"/>
        </a:xfrm>
        <a:prstGeom prst="rect">
          <a:avLst/>
        </a:prstGeom>
        <a:solidFill>
          <a:schemeClr val="accent1"/>
        </a:solidFill>
        <a:ln cap="flat" cmpd="sng" w="1905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r>
            <a:rPr lang="es-CO" sz="1100"/>
            <a:t>Consultar</a:t>
          </a: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1019175</xdr:colOff>
      <xdr:row>6</xdr:row>
      <xdr:rowOff>57150</xdr:rowOff>
    </xdr:from>
    <xdr:ext cx="1771650" cy="685800"/>
    <xdr:sp macro="[0]!ConsultarCedula" textlink="">
      <xdr:nvSpPr>
        <xdr:cNvPr id="3" name="Rectángulo 2">
          <a:extLst>
            <a:ext uri="{FF2B5EF4-FFF2-40B4-BE49-F238E27FC236}"/>
          </a:extLst>
        </xdr:cNvPr>
        <xdr:cNvSpPr/>
      </xdr:nvSpPr>
      <xdr:spPr>
        <a:xfrm>
          <a:off x="25050750" y="1200150"/>
          <a:ext cx="990600" cy="657225"/>
        </a:xfrm>
        <a:prstGeom prst="rect">
          <a:avLst/>
        </a:prstGeom>
        <a:solidFill>
          <a:schemeClr val="accent1"/>
        </a:solidFill>
        <a:ln cap="flat" cmpd="sng" w="19050" algn="ctr">
          <a:solidFill>
            <a:schemeClr val="accent1">
              <a:shade val="15000"/>
            </a:schemeClr>
          </a:solidFill>
          <a:prstDash val="solid"/>
          <a:miter lim="800000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r>
            <a:rPr lang="es-CO" sz="1100"/>
            <a:t>Consultar</a:t>
          </a: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285750</xdr:colOff>
      <xdr:row>201</xdr:row>
      <xdr:rowOff>152400</xdr:rowOff>
    </xdr:from>
    <xdr:ext cx="4076700" cy="28860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76200</xdr:colOff>
      <xdr:row>19</xdr:row>
      <xdr:rowOff>9525</xdr:rowOff>
    </xdr:from>
    <xdr:ext cx="95250" cy="2190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grupocoomeva-my.sharepoint.com/personal/narv6850_coomeva_com_co/Documents/COMPENSACION%20VARIABLE/Comisiones/04.%20Informes%20y%20consolidados/Ventas/Matriz%20de%20Ejecutivos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triz de Ejecutivos"/>
    </sheetNames>
    <sheetDataSet>
      <sheetData sheetId="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5.0"/>
    <col customWidth="1" min="3" max="8" width="10.71"/>
    <col customWidth="1" min="9" max="9" width="13.71"/>
    <col customWidth="1" min="10" max="10" width="15.29"/>
    <col customWidth="1" min="11" max="11" width="19.14"/>
    <col customWidth="1" min="12" max="12" width="27.86"/>
  </cols>
  <sheetData>
    <row r="2">
      <c r="B2" s="1" t="s">
        <v>0</v>
      </c>
      <c r="C2" s="1" t="s">
        <v>1</v>
      </c>
      <c r="D2" s="1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</row>
    <row r="3">
      <c r="B3" t="str">
        <f t="array" ref="B3">XLOOKUP(E3,'[1]Matriz de Ejecutivos'!$B:$B,'[1]Matriz de Ejecutivos'!$C:$C,,0)</f>
        <v>#REF!</v>
      </c>
      <c r="C3" t="s">
        <v>10</v>
      </c>
      <c r="E3">
        <v>1.065607667E9</v>
      </c>
      <c r="F3" t="str">
        <f>IF(C3="Principal",2212000,1932000)</f>
        <v>2212000</v>
      </c>
      <c r="G3" t="s">
        <v>11</v>
      </c>
      <c r="H3" t="str">
        <f t="array" ref="H3">XLOOKUP(E3,'[1]Matriz de Ejecutivos'!$B:$B,'[1]Matriz de Ejecutivos'!$I:$I,,0)</f>
        <v>#REF!</v>
      </c>
      <c r="I3">
        <v>200000.0</v>
      </c>
      <c r="J3" t="s">
        <v>12</v>
      </c>
      <c r="K3" s="2" t="str">
        <f>IF(AND(C3="Principal",J3="Menos de 4 meses"),'Ejecutivo MI &lt;= 4 meses-Ppal'!I3,IF(AND(C3="Principal",J3="Mas de 4 meses"),'Ejecutivo MI &gt; a 4 meses-Ppal'!I3,IF(AND(C3="Intermedio",J3="Mas de 4 meses"),'Ejecutivo MI &gt; a 4 meses-Inter'!I3,IF(AND(C3="Intermedio",J3="Menos de 4 meses"),'Ejecutivo MI &lt;= 4 meses-Inter'!I3,"Error"))))</f>
        <v>1.22</v>
      </c>
      <c r="L3" s="2" t="str">
        <f>IF(AND(C3="Principal",J3="Menos de 4 meses"),'Ejecutivo MI &lt;= 4 meses-Ppal'!J3,IF(AND(C3="Principal",J3="Mas de 4 meses"),'Ejecutivo MI &gt; a 4 meses-Ppal'!J3,IF(AND(C3="Intermedio",J3="Mas de 4 meses"),'Ejecutivo MI &gt; a 4 meses-Inter'!J3,IF(AND(C3="Intermedio",J3="Menos de 4 meses"),'Ejecutivo MI &lt;= 4 meses-Inter'!J3,"Error"))))</f>
        <v>0.35</v>
      </c>
    </row>
    <row r="6">
      <c r="B6" s="1" t="s">
        <v>13</v>
      </c>
    </row>
    <row r="7">
      <c r="B7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ErrorMessage="1" sqref="G3">
      <formula1>"Pago Anticipado Trimestre,Pago Anticipado año,Pago anticipadoSemestre,No aplica,VentasOro"</formula1>
    </dataValidation>
    <dataValidation type="list" allowBlank="1" showErrorMessage="1" sqref="J3">
      <formula1>"Mas de 4 meses,Menos de 4 meses"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2.86"/>
    <col customWidth="1" min="3" max="4" width="10.71"/>
    <col customWidth="1" min="5" max="5" width="19.86"/>
    <col customWidth="1" min="6" max="6" width="20.0"/>
    <col customWidth="1" min="7" max="7" width="27.29"/>
    <col customWidth="1" min="8" max="8" width="26.43"/>
    <col customWidth="1" min="9" max="9" width="24.0"/>
    <col customWidth="1" min="10" max="13" width="21.43"/>
    <col customWidth="1" min="14" max="14" width="20.0"/>
    <col customWidth="1" min="15" max="15" width="13.57"/>
    <col customWidth="1" min="16" max="16" width="14.86"/>
    <col customWidth="1" min="17" max="17" width="22.57"/>
    <col customWidth="1" min="18" max="18" width="19.0"/>
    <col customWidth="1" min="19" max="19" width="17.86"/>
    <col customWidth="1" min="20" max="20" width="12.29"/>
    <col customWidth="1" min="21" max="22" width="10.71"/>
  </cols>
  <sheetData>
    <row r="2">
      <c r="B2" s="1"/>
      <c r="C2" s="1" t="s">
        <v>1</v>
      </c>
      <c r="D2" s="1" t="s">
        <v>14</v>
      </c>
      <c r="E2" s="1" t="s">
        <v>3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6</v>
      </c>
      <c r="P2" s="1" t="s">
        <v>7</v>
      </c>
      <c r="Q2" s="1" t="s">
        <v>24</v>
      </c>
      <c r="R2" s="1" t="s">
        <v>25</v>
      </c>
      <c r="S2" s="1" t="s">
        <v>26</v>
      </c>
      <c r="T2" s="1" t="s">
        <v>9</v>
      </c>
      <c r="U2" s="1" t="s">
        <v>27</v>
      </c>
      <c r="V2" s="1" t="s">
        <v>28</v>
      </c>
    </row>
    <row r="3">
      <c r="C3" t="s">
        <v>29</v>
      </c>
      <c r="D3" t="str">
        <f>+IF(OR(C3="Barranquilla",C3="Bogota",C3="Cali",C3="Medellín",C3="Pereira",C3="Bucaramanga"),"Principal","Intermedio")</f>
        <v>Principal</v>
      </c>
      <c r="E3">
        <v>2212000.0</v>
      </c>
      <c r="F3">
        <v>60000.0</v>
      </c>
      <c r="G3">
        <v>54000.0</v>
      </c>
      <c r="H3">
        <v>63000.0</v>
      </c>
      <c r="I3">
        <v>35000.0</v>
      </c>
      <c r="J3">
        <v>25000.0</v>
      </c>
      <c r="K3" t="s">
        <v>30</v>
      </c>
      <c r="L3">
        <v>0.0</v>
      </c>
      <c r="M3">
        <v>1600000.0</v>
      </c>
      <c r="N3" t="str">
        <f>Q3+SUM(F4:L4)</f>
        <v>1828850</v>
      </c>
      <c r="O3">
        <v>3000000.0</v>
      </c>
      <c r="P3" t="s">
        <v>31</v>
      </c>
      <c r="Q3" t="str">
        <f>IF(AND(D3="Principal",P3="Menos de 4 meses"),'Ejecutivo MI &lt;= 4 meses-Ppal'!E17,IF(AND(D3="Principal",P3="Mas de 4 meses"),'Ejecutivo MI &gt; a 4 meses-Ppal'!E17,IF(AND(D3="Intermedio",P3="Mas de 4 meses"),'Ejecutivo MI &gt; a 4 meses-Inter'!E17,IF(AND(D3="Intermedio",P3="Menos de 4 meses"),'Ejecutivo MI &lt;= 4 meses-Inter'!E17,"Error"))))</f>
        <v>1738000</v>
      </c>
      <c r="R3" s="3" t="str">
        <f>R5</f>
        <v>72.33%</v>
      </c>
      <c r="S3" s="2" t="str">
        <f>IF(AND(D3="Principal",P3="Menos de 4 meses"),'Ejecutivo MI &lt;= 4 meses-Ppal'!I3,IF(AND(D3="Principal",P3="Mas de 4 meses"),'Ejecutivo MI &gt; a 4 meses-Ppal'!I3,IF(AND(D3="Intermedio",P3="Mas de 4 meses"),'Ejecutivo MI &gt; a 4 meses-Inter'!I3,IF(AND(D3="Intermedio",P3="Menos de 4 meses"),'Ejecutivo MI &lt;= 4 meses-Inter'!I3,"Error"))))</f>
        <v>1.22</v>
      </c>
      <c r="T3" s="2" t="str">
        <f>IF(AND(D3="Principal",P3="Menos de 4 meses"),'Ejecutivo MI &lt;= 4 meses-Ppal'!J3,IF(AND(D3="Principal",P3="Mas de 4 meses"),'Ejecutivo MI &gt; a 4 meses-Ppal'!J3,IF(AND(D3="Intermedio",P3="Mas de 4 meses"),'Ejecutivo MI &gt; a 4 meses-Inter'!J3,IF(AND(D3="Intermedio",P3="Menos de 4 meses"),'Ejecutivo MI &lt;= 4 meses-Inter'!J3,"Error"))))</f>
        <v>0.35</v>
      </c>
      <c r="U3" s="2">
        <v>5.0</v>
      </c>
      <c r="V3" s="4" t="str">
        <f>IF(D3="Principal",9-U3,8-U3)</f>
        <v>4.00</v>
      </c>
    </row>
    <row r="4">
      <c r="F4" t="str">
        <f>0.15*F3</f>
        <v>9000</v>
      </c>
      <c r="G4" t="str">
        <f>0.5*G3</f>
        <v>27000</v>
      </c>
      <c r="H4" t="str">
        <f>H3*0.7</f>
        <v>44100</v>
      </c>
      <c r="I4" t="str">
        <f>I3*0.2</f>
        <v>7000</v>
      </c>
      <c r="J4" t="str">
        <f>IF(B7&gt;=5,J3*0.3,IF(B7&gt;=2,J3*0.15,0))</f>
        <v>3750</v>
      </c>
      <c r="L4" t="str">
        <f>IF(K3="Broker y Externos",0.4*L3,L3)</f>
        <v>0</v>
      </c>
    </row>
    <row r="5">
      <c r="R5" s="3" t="str">
        <f>IF(D3="Principal",(M3/2212000),(M3/19320000))</f>
        <v>72.33%</v>
      </c>
    </row>
    <row r="6">
      <c r="B6" s="1" t="s">
        <v>32</v>
      </c>
      <c r="C6" s="1"/>
    </row>
    <row r="7">
      <c r="B7">
        <v>3.0</v>
      </c>
    </row>
    <row r="8">
      <c r="B8" s="1" t="s">
        <v>33</v>
      </c>
    </row>
    <row r="11">
      <c r="B11" s="1"/>
      <c r="C11" s="1"/>
      <c r="D11" s="1"/>
      <c r="E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3">
      <c r="R13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ErrorMessage="1" sqref="P3">
      <formula1>"Mas de 4 meses,Menos de 4 meses"</formula1>
    </dataValidation>
    <dataValidation type="list" allowBlank="1" showErrorMessage="1" sqref="K3">
      <formula1>"Broker y Externos,Admin"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0.43"/>
    <col customWidth="1" min="5" max="5" width="10.71"/>
    <col customWidth="1" min="6" max="6" width="17.29"/>
    <col customWidth="1" min="7" max="7" width="24.43"/>
    <col customWidth="1" min="8" max="8" width="26.29"/>
    <col customWidth="1" min="9" max="9" width="20.14"/>
    <col customWidth="1" min="10" max="10" width="17.43"/>
    <col customWidth="1" min="11" max="11" width="14.57"/>
    <col customWidth="1" min="12" max="12" width="15.29"/>
    <col customWidth="1" min="13" max="13" width="16.71"/>
    <col customWidth="1" min="14" max="14" width="13.86"/>
    <col customWidth="1" min="15" max="15" width="12.86"/>
    <col customWidth="1" min="16" max="16" width="10.71"/>
    <col customWidth="1" min="17" max="17" width="21.57"/>
    <col customWidth="1" min="18" max="18" width="14.57"/>
    <col customWidth="1" min="19" max="19" width="23.43"/>
    <col customWidth="1" min="20" max="21" width="10.71"/>
    <col customWidth="1" min="22" max="22" width="17.0"/>
  </cols>
  <sheetData>
    <row r="1">
      <c r="C1" t="s">
        <v>35</v>
      </c>
      <c r="F1" t="s">
        <v>35</v>
      </c>
      <c r="G1" t="s">
        <v>35</v>
      </c>
      <c r="H1" t="s">
        <v>35</v>
      </c>
      <c r="I1" t="s">
        <v>35</v>
      </c>
      <c r="J1" t="s">
        <v>35</v>
      </c>
      <c r="K1" t="s">
        <v>35</v>
      </c>
      <c r="L1" t="s">
        <v>35</v>
      </c>
      <c r="M1" t="s">
        <v>35</v>
      </c>
      <c r="O1" t="s">
        <v>35</v>
      </c>
      <c r="P1" t="s">
        <v>35</v>
      </c>
      <c r="S1" t="s">
        <v>36</v>
      </c>
      <c r="U1" t="s">
        <v>35</v>
      </c>
    </row>
    <row r="2">
      <c r="B2" s="1"/>
      <c r="C2" s="1" t="s">
        <v>1</v>
      </c>
      <c r="D2" s="1" t="s">
        <v>14</v>
      </c>
      <c r="E2" s="1" t="s">
        <v>3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6</v>
      </c>
      <c r="P2" s="1" t="s">
        <v>7</v>
      </c>
      <c r="Q2" s="1" t="s">
        <v>24</v>
      </c>
      <c r="R2" s="1" t="s">
        <v>25</v>
      </c>
      <c r="S2" s="1" t="s">
        <v>37</v>
      </c>
      <c r="T2" s="1" t="s">
        <v>9</v>
      </c>
      <c r="U2" s="1" t="s">
        <v>27</v>
      </c>
      <c r="V2" s="1" t="s">
        <v>28</v>
      </c>
    </row>
    <row r="3">
      <c r="C3" t="s">
        <v>38</v>
      </c>
      <c r="D3" t="str">
        <f>+IF(OR(C3="Barranquilla",C3="BOGOTA",C3="Cali",C3="Medellín",C3="Pereira",C3="Bucaramanga"),"Principal","Intermedio")</f>
        <v>Principal</v>
      </c>
      <c r="E3" t="str">
        <f>IF(D3="Principal",2520000,2200000)</f>
        <v>2520000</v>
      </c>
      <c r="F3">
        <v>500000.0</v>
      </c>
      <c r="G3">
        <v>220000.0</v>
      </c>
      <c r="H3">
        <v>600000.0</v>
      </c>
      <c r="I3">
        <v>421000.0</v>
      </c>
      <c r="J3">
        <v>360000.0</v>
      </c>
      <c r="K3" t="s">
        <v>30</v>
      </c>
      <c r="L3">
        <v>21000.0</v>
      </c>
      <c r="M3">
        <v>2200000.0</v>
      </c>
      <c r="N3" t="str">
        <f>Q3+SUM(F4:L4)</f>
        <v>2539600</v>
      </c>
      <c r="O3">
        <v>4000000.0</v>
      </c>
      <c r="P3" t="s">
        <v>31</v>
      </c>
      <c r="Q3" t="str">
        <f>IF(AND(D3="Principal",P3="Menos de 4 meses"),'Ejecutivo MI &lt;= 4 meses-Ppal'!E17,IF(AND(D3="Principal",P3="Mas de 4 meses"),'Ejecutivo MI &gt; a 4 meses-Ppal'!E17,IF(AND(D3="Intermedio",P3="Mas de 4 meses"),'Ejecutivo MI &gt; a 4 meses-Inter'!E17,IF(AND(D3="Intermedio",P3="Menos de 4 meses"),'Ejecutivo MI &lt;= 4 meses-Inter'!E17,"Error"))))</f>
        <v>1738000</v>
      </c>
      <c r="R3" s="3" t="str">
        <f>R5</f>
        <v>87.30%</v>
      </c>
      <c r="S3" s="2" t="str">
        <f>IF(AND(D3="Principal",P3="Menos de 4 meses"),'Ejecutivo MI &lt;= 4 meses-Ppal'!I3,IF(AND(D3="Principal",P3="Mas de 4 meses"),'Ejecutivo MI &gt; a 4 meses-Ppal'!I3,IF(AND(D3="Intermedio",P3="Mas de 4 meses"),'Ejecutivo MI &gt; a 4 meses-Inter'!I3,IF(AND(D3="Intermedio",P3="Menos de 4 meses"),'Ejecutivo MI &lt;= 4 meses-Inter'!I3,"Error"))))</f>
        <v>1.22</v>
      </c>
      <c r="T3" s="2" t="str">
        <f>IF(AND(D3="Principal",P3="Menos de 4 meses"),'Ejecutivo MI &lt;= 4 meses-Ppal'!J3,IF(AND(D3="Principal",P3="Mas de 4 meses"),'Ejecutivo MI &gt; a 4 meses-Ppal'!J3,IF(AND(D3="Intermedio",P3="Mas de 4 meses"),'Ejecutivo MI &gt; a 4 meses-Inter'!J3,IF(AND(D3="Intermedio",P3="Menos de 4 meses"),'Ejecutivo MI &lt;= 4 meses-Inter'!J3,"Error"))))</f>
        <v>0.35</v>
      </c>
      <c r="U3" s="2">
        <v>8.0</v>
      </c>
      <c r="V3" s="4" t="str">
        <f>IF(D3="Principal",S15-U3,S16-U3)</f>
        <v>1.00</v>
      </c>
    </row>
    <row r="4">
      <c r="F4" t="str">
        <f>F3*0.25</f>
        <v>125000</v>
      </c>
      <c r="G4" t="str">
        <f>G3*0.5</f>
        <v>110000</v>
      </c>
      <c r="H4" t="str">
        <f>H3*0.7</f>
        <v>420000</v>
      </c>
      <c r="I4" t="str">
        <f>I3*0.2</f>
        <v>84200</v>
      </c>
      <c r="J4" t="str">
        <f>IF(B7&gt;=5,J3*0.3,IF(B7&gt;=2,J3*0.15,0))</f>
        <v>54000</v>
      </c>
      <c r="L4" t="str">
        <f>IF(K3="BROKER Y EXTERNOS",L3*0.4,L3)</f>
        <v>8400</v>
      </c>
      <c r="N4" t="str">
        <f>IF(AND(D3="Principal",P3="Menos de 4 meses"),'Ejecutivo MI &lt;= 4 meses-Ppal'!N26,IF(AND(D3="Principal",P3="Mas de 4 meses"),'Ejecutivo MI &gt; a 4 meses-Ppal'!N26,IF(AND(D3="Intermedio",P3="Mas de 4 meses"),'Ejecutivo MI &gt; a 4 meses-Inter'!N26,IF(AND(D3="Intermedio",P3="Menos de 4 meses"),'Ejecutivo MI &lt;= 4 meses-Inter'!N26,"Error"))))</f>
        <v>506000</v>
      </c>
      <c r="V4" s="4" t="str">
        <f>IF(V3&gt;0,V3, "Cumpliste la meta")</f>
        <v>1.00</v>
      </c>
    </row>
    <row r="5">
      <c r="B5" t="s">
        <v>35</v>
      </c>
      <c r="R5" s="3" t="str">
        <f>IF(D3="Principal",(M3/R15),(M3/R16))</f>
        <v>87.30%</v>
      </c>
    </row>
    <row r="6">
      <c r="B6" s="1" t="s">
        <v>32</v>
      </c>
      <c r="C6" s="1"/>
    </row>
    <row r="7">
      <c r="B7">
        <v>3.0</v>
      </c>
      <c r="R7" s="4" t="str">
        <f>IF(AND(D3="Principal",P3="Menos de 4 meses"),'Ejecutivo MI &lt;= 4 meses-Ppal'!C17,IF(AND(D3="Principal",P3="Mas de 4 meses"),'Ejecutivo MI &gt; a 4 meses-Ppal'!C17,IF(AND(D3="Intermedio",P3="Mas de 4 meses"),'Ejecutivo MI &gt; a 4 meses-Inter'!C17,IF(AND(D3="Intermedio",P3="Menos de 4 meses"),'Ejecutivo MI &lt;= 4 meses-Inter'!C17,"Error"))))</f>
        <v>0.87</v>
      </c>
      <c r="V7" t="s">
        <v>35</v>
      </c>
    </row>
    <row r="8">
      <c r="B8" s="1" t="s">
        <v>33</v>
      </c>
      <c r="V8" s="5" t="str">
        <f>IF(R3&gt;=1,"Felicitaciones, has cumplido la meta",1-R3)</f>
        <v>12.70%</v>
      </c>
    </row>
    <row r="10">
      <c r="F10" s="6" t="s">
        <v>39</v>
      </c>
      <c r="G10" s="7"/>
      <c r="H10" s="8"/>
      <c r="I10" s="9"/>
      <c r="J10" s="6" t="s">
        <v>40</v>
      </c>
      <c r="K10" s="7"/>
      <c r="L10" s="8"/>
    </row>
    <row r="11">
      <c r="F11" s="10" t="s">
        <v>41</v>
      </c>
      <c r="G11" s="8"/>
      <c r="H11" s="11" t="s">
        <v>42</v>
      </c>
      <c r="I11" s="12"/>
      <c r="J11" s="11" t="s">
        <v>43</v>
      </c>
      <c r="K11" s="11" t="s">
        <v>44</v>
      </c>
      <c r="L11" s="11" t="s">
        <v>42</v>
      </c>
    </row>
    <row r="12">
      <c r="F12" s="13" t="s">
        <v>45</v>
      </c>
      <c r="G12" s="8"/>
      <c r="H12" s="14">
        <v>0.7</v>
      </c>
      <c r="I12" s="12"/>
      <c r="J12" s="15">
        <v>0.0</v>
      </c>
      <c r="K12" s="15">
        <v>1.0</v>
      </c>
      <c r="L12" s="14">
        <v>0.0</v>
      </c>
    </row>
    <row r="13">
      <c r="F13" s="13" t="s">
        <v>46</v>
      </c>
      <c r="G13" s="8"/>
      <c r="H13" s="14">
        <v>0.5</v>
      </c>
      <c r="I13" s="12"/>
      <c r="J13" s="15">
        <v>2.0</v>
      </c>
      <c r="K13" s="15">
        <v>4.0</v>
      </c>
      <c r="L13" s="14">
        <v>0.15</v>
      </c>
    </row>
    <row r="14" ht="15.0" customHeight="1">
      <c r="F14" s="13" t="s">
        <v>47</v>
      </c>
      <c r="G14" s="8"/>
      <c r="H14" s="14">
        <v>0.2</v>
      </c>
      <c r="I14" s="12"/>
      <c r="J14" s="15">
        <v>5.0</v>
      </c>
      <c r="K14" s="15" t="s">
        <v>48</v>
      </c>
      <c r="L14" s="14">
        <v>0.3</v>
      </c>
      <c r="R14" t="s">
        <v>49</v>
      </c>
      <c r="S14" t="s">
        <v>50</v>
      </c>
    </row>
    <row r="15" ht="15.0" customHeight="1">
      <c r="F15" s="13" t="s">
        <v>51</v>
      </c>
      <c r="G15" s="8"/>
      <c r="H15" s="14">
        <v>0.2</v>
      </c>
      <c r="I15" s="12"/>
      <c r="J15" s="16" t="s">
        <v>52</v>
      </c>
      <c r="Q15" t="s">
        <v>53</v>
      </c>
      <c r="R15">
        <v>2520000.0</v>
      </c>
      <c r="S15">
        <v>9.0</v>
      </c>
    </row>
    <row r="16" ht="15.0" customHeight="1">
      <c r="F16" s="13" t="s">
        <v>54</v>
      </c>
      <c r="G16" s="8"/>
      <c r="H16" s="14">
        <v>0.25</v>
      </c>
      <c r="I16" s="12"/>
      <c r="Q16" t="s">
        <v>55</v>
      </c>
      <c r="R16">
        <v>2200000.0</v>
      </c>
      <c r="S16">
        <v>8.0</v>
      </c>
    </row>
    <row r="17">
      <c r="F17" s="12"/>
      <c r="G17" s="12"/>
      <c r="H17" s="12"/>
      <c r="I17" s="12"/>
    </row>
    <row r="18">
      <c r="F18" s="16" t="s">
        <v>56</v>
      </c>
      <c r="G18" s="17"/>
      <c r="H18" s="18"/>
      <c r="I18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8">
    <mergeCell ref="F15:G15"/>
    <mergeCell ref="F16:G16"/>
    <mergeCell ref="F10:H10"/>
    <mergeCell ref="J10:L10"/>
    <mergeCell ref="F11:G11"/>
    <mergeCell ref="F12:G12"/>
    <mergeCell ref="F13:G13"/>
    <mergeCell ref="F14:G14"/>
  </mergeCells>
  <dataValidations>
    <dataValidation type="list" allowBlank="1" showErrorMessage="1" sqref="P3">
      <formula1>"Mas de 4 meses,Menos de 4 meses"</formula1>
    </dataValidation>
    <dataValidation type="list" allowBlank="1" showErrorMessage="1" sqref="K3">
      <formula1>"Broker y Externos,Admin"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2.14"/>
    <col customWidth="1" min="3" max="3" width="21.14"/>
    <col customWidth="1" min="4" max="4" width="20.0"/>
    <col customWidth="1" min="5" max="5" width="13.86"/>
    <col customWidth="1" min="6" max="6" width="21.86"/>
    <col customWidth="1" min="7" max="7" width="17.29"/>
    <col customWidth="1" min="8" max="8" width="16.29"/>
    <col customWidth="1" min="9" max="9" width="14.14"/>
    <col customWidth="1" min="10" max="11" width="10.71"/>
    <col customWidth="1" min="12" max="12" width="31.29"/>
    <col customWidth="1" min="13" max="13" width="16.14"/>
    <col customWidth="1" min="14" max="16" width="10.71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8</v>
      </c>
      <c r="J2" s="1" t="s">
        <v>9</v>
      </c>
      <c r="K2" s="1" t="s">
        <v>9</v>
      </c>
    </row>
    <row r="3">
      <c r="B3" t="str">
        <f t="array" ref="B3">XLOOKUP(D3,'[1]Matriz de Ejecutivos'!$B:$B,'[1]Matriz de Ejecutivos'!$C:$C,,0)</f>
        <v>#REF!</v>
      </c>
      <c r="C3" t="s">
        <v>10</v>
      </c>
      <c r="D3" t="str">
        <f>Hoja3!E3</f>
        <v>1065607667</v>
      </c>
      <c r="E3" t="str">
        <f>IF(C3="Principal",2520000,2200000)</f>
        <v>2520000</v>
      </c>
      <c r="F3" t="str">
        <f>Hoja3!G3</f>
        <v>VentasOro</v>
      </c>
      <c r="G3" t="str">
        <f t="array" ref="G3">XLOOKUP(D3,'[1]Matriz de Ejecutivos'!$B:$B,'[1]Matriz de Ejecutivos'!$I:$I,,0)</f>
        <v>#REF!</v>
      </c>
      <c r="H3" t="str">
        <f>versf!O3</f>
        <v>4000000</v>
      </c>
      <c r="I3" s="4" t="str">
        <f t="array" ref="I3">XLOOKUP("si", J17:J155, C17:C155)</f>
        <v>1.22</v>
      </c>
      <c r="J3" s="4" t="str">
        <f>IF(I3-C17&gt;0,I3-C17,"Ya cumpliste")</f>
        <v>0.35</v>
      </c>
      <c r="K3" s="4" t="str">
        <f>IF(I3-C17&gt;0,I3-C17,"Ya cumpliste")</f>
        <v>0.35</v>
      </c>
    </row>
    <row r="6">
      <c r="B6" s="1" t="s">
        <v>13</v>
      </c>
    </row>
    <row r="7">
      <c r="B7" t="str">
        <f>versf!B7</f>
        <v>3</v>
      </c>
    </row>
    <row r="8" ht="14.25" customHeight="1"/>
    <row r="14">
      <c r="N14" s="2" t="str">
        <f>versf!U3</f>
        <v>8.00</v>
      </c>
    </row>
    <row r="16">
      <c r="B16" t="s">
        <v>57</v>
      </c>
      <c r="C16" t="s">
        <v>58</v>
      </c>
      <c r="D16" t="s">
        <v>59</v>
      </c>
      <c r="E16" t="s">
        <v>60</v>
      </c>
      <c r="G16" t="s">
        <v>61</v>
      </c>
      <c r="H16" t="s">
        <v>62</v>
      </c>
    </row>
    <row r="17">
      <c r="B17" t="str">
        <f t="shared" ref="B17:B184" si="1">$E$3*C17</f>
        <v>2200000</v>
      </c>
      <c r="C17" s="2" t="str">
        <f>versf!R3</f>
        <v>0.87</v>
      </c>
      <c r="D17" t="str">
        <f t="shared" ref="D17:D184" si="2">IF(C17&gt;=1.89,1.44,IF(C17&gt;=1.56,1.28,IF(C17&gt;=1.22,1.08,IF(C17&gt;=1,0.92,IF(C17&gt;=0.78,0.56,0)))))</f>
        <v>0.56</v>
      </c>
      <c r="E17" t="str">
        <f t="shared" ref="E17:E184" si="3">IF($N$14&gt;0,B17*(D17+$N$25),B17*D17)</f>
        <v>1738000</v>
      </c>
      <c r="G17" t="str">
        <f t="shared" ref="G17:G184" si="4">IF($F$3="VentasOro",D17+0.15,IF($F$3="Pago Anticipado Trimestre",0.2+D17,IF($F$3="Pago AnticipadoSemestre",0.5+D17,IF($F$3="Pago Anticipado año",D17+0.7,D17))))</f>
        <v>0.71</v>
      </c>
      <c r="H17" t="str">
        <f t="shared" ref="H17:H184" si="5">B17*K17</f>
        <v>1892000</v>
      </c>
      <c r="J17" t="str">
        <f t="shared" ref="J17:J184" si="6">IF(E17&lt;$H$3,"no","si")</f>
        <v>no</v>
      </c>
      <c r="K17" t="str">
        <f t="shared" ref="K17:K184" si="7">IF($B$7&gt;=5,G17+0.3,IF($B$7&gt;=2,G17+0.15,G17))</f>
        <v>0.86</v>
      </c>
      <c r="N17">
        <v>0.0</v>
      </c>
      <c r="O17">
        <v>5.0</v>
      </c>
      <c r="P17">
        <v>0.0</v>
      </c>
    </row>
    <row r="18">
      <c r="B18" t="str">
        <f t="shared" si="1"/>
        <v>2225200</v>
      </c>
      <c r="C18" s="2" t="str">
        <f t="shared" ref="C18:C184" si="8">C17+0.01</f>
        <v>0.88</v>
      </c>
      <c r="D18" t="str">
        <f t="shared" si="2"/>
        <v>0.56</v>
      </c>
      <c r="E18" t="str">
        <f t="shared" si="3"/>
        <v>1757908</v>
      </c>
      <c r="G18" t="str">
        <f t="shared" si="4"/>
        <v>0.71</v>
      </c>
      <c r="H18" t="str">
        <f t="shared" si="5"/>
        <v>1913672</v>
      </c>
      <c r="J18" t="str">
        <f t="shared" si="6"/>
        <v>no</v>
      </c>
      <c r="K18" t="str">
        <f t="shared" si="7"/>
        <v>0.86</v>
      </c>
      <c r="N18">
        <v>6.0</v>
      </c>
      <c r="O18">
        <v>7.0</v>
      </c>
      <c r="P18">
        <v>0.14</v>
      </c>
    </row>
    <row r="19">
      <c r="B19" t="str">
        <f t="shared" si="1"/>
        <v>2250400</v>
      </c>
      <c r="C19" s="4" t="str">
        <f t="shared" si="8"/>
        <v>0.89</v>
      </c>
      <c r="D19" t="str">
        <f t="shared" si="2"/>
        <v>0.56</v>
      </c>
      <c r="E19" t="str">
        <f t="shared" si="3"/>
        <v>1777816</v>
      </c>
      <c r="G19" t="str">
        <f t="shared" si="4"/>
        <v>0.71</v>
      </c>
      <c r="H19" t="str">
        <f t="shared" si="5"/>
        <v>1935344</v>
      </c>
      <c r="J19" t="str">
        <f t="shared" si="6"/>
        <v>no</v>
      </c>
      <c r="K19" t="str">
        <f t="shared" si="7"/>
        <v>0.86</v>
      </c>
      <c r="N19">
        <v>8.0</v>
      </c>
      <c r="O19">
        <v>10.0</v>
      </c>
      <c r="P19">
        <v>0.23</v>
      </c>
    </row>
    <row r="20">
      <c r="B20" t="str">
        <f t="shared" si="1"/>
        <v>2275600</v>
      </c>
      <c r="C20" s="4" t="str">
        <f t="shared" si="8"/>
        <v>0.90</v>
      </c>
      <c r="D20" t="str">
        <f t="shared" si="2"/>
        <v>0.56</v>
      </c>
      <c r="E20" t="str">
        <f t="shared" si="3"/>
        <v>1797724</v>
      </c>
      <c r="G20" t="str">
        <f t="shared" si="4"/>
        <v>0.71</v>
      </c>
      <c r="H20" t="str">
        <f t="shared" si="5"/>
        <v>1957016</v>
      </c>
      <c r="J20" t="str">
        <f t="shared" si="6"/>
        <v>no</v>
      </c>
      <c r="K20" t="str">
        <f t="shared" si="7"/>
        <v>0.86</v>
      </c>
      <c r="N20">
        <v>11.0</v>
      </c>
      <c r="O20">
        <v>13.0</v>
      </c>
      <c r="P20">
        <v>0.27</v>
      </c>
    </row>
    <row r="21" ht="15.75" customHeight="1">
      <c r="B21" t="str">
        <f t="shared" si="1"/>
        <v>2300800</v>
      </c>
      <c r="C21" s="4" t="str">
        <f t="shared" si="8"/>
        <v>0.91</v>
      </c>
      <c r="D21" t="str">
        <f t="shared" si="2"/>
        <v>0.56</v>
      </c>
      <c r="E21" t="str">
        <f t="shared" si="3"/>
        <v>1817632</v>
      </c>
      <c r="G21" t="str">
        <f t="shared" si="4"/>
        <v>0.71</v>
      </c>
      <c r="H21" t="str">
        <f t="shared" si="5"/>
        <v>1978688</v>
      </c>
      <c r="J21" t="str">
        <f t="shared" si="6"/>
        <v>no</v>
      </c>
      <c r="K21" t="str">
        <f t="shared" si="7"/>
        <v>0.86</v>
      </c>
      <c r="N21">
        <v>14.0</v>
      </c>
      <c r="O21">
        <v>16.0</v>
      </c>
      <c r="P21">
        <v>0.32</v>
      </c>
    </row>
    <row r="22" ht="15.75" customHeight="1">
      <c r="B22" t="str">
        <f t="shared" si="1"/>
        <v>2326000</v>
      </c>
      <c r="C22" s="4" t="str">
        <f t="shared" si="8"/>
        <v>0.92</v>
      </c>
      <c r="D22" t="str">
        <f t="shared" si="2"/>
        <v>0.56</v>
      </c>
      <c r="E22" t="str">
        <f t="shared" si="3"/>
        <v>1837540</v>
      </c>
      <c r="G22" t="str">
        <f t="shared" si="4"/>
        <v>0.71</v>
      </c>
      <c r="H22" t="str">
        <f t="shared" si="5"/>
        <v>2000360</v>
      </c>
      <c r="J22" t="str">
        <f t="shared" si="6"/>
        <v>no</v>
      </c>
      <c r="K22" t="str">
        <f t="shared" si="7"/>
        <v>0.86</v>
      </c>
      <c r="N22">
        <v>17.0</v>
      </c>
      <c r="O22" t="s">
        <v>48</v>
      </c>
      <c r="P22">
        <v>0.36</v>
      </c>
    </row>
    <row r="23" ht="15.75" customHeight="1">
      <c r="B23" t="str">
        <f t="shared" si="1"/>
        <v>2351200</v>
      </c>
      <c r="C23" s="4" t="str">
        <f t="shared" si="8"/>
        <v>0.93</v>
      </c>
      <c r="D23" t="str">
        <f t="shared" si="2"/>
        <v>0.56</v>
      </c>
      <c r="E23" t="str">
        <f t="shared" si="3"/>
        <v>1857448</v>
      </c>
      <c r="G23" t="str">
        <f t="shared" si="4"/>
        <v>0.71</v>
      </c>
      <c r="H23" t="str">
        <f t="shared" si="5"/>
        <v>2022032</v>
      </c>
      <c r="J23" t="str">
        <f t="shared" si="6"/>
        <v>no</v>
      </c>
      <c r="K23" t="str">
        <f t="shared" si="7"/>
        <v>0.86</v>
      </c>
    </row>
    <row r="24" ht="15.75" customHeight="1">
      <c r="B24" t="str">
        <f t="shared" si="1"/>
        <v>2376400</v>
      </c>
      <c r="C24" s="4" t="str">
        <f t="shared" si="8"/>
        <v>0.94</v>
      </c>
      <c r="D24" t="str">
        <f t="shared" si="2"/>
        <v>0.56</v>
      </c>
      <c r="E24" t="str">
        <f t="shared" si="3"/>
        <v>1877356</v>
      </c>
      <c r="G24" t="str">
        <f t="shared" si="4"/>
        <v>0.71</v>
      </c>
      <c r="H24" t="str">
        <f t="shared" si="5"/>
        <v>2043704</v>
      </c>
      <c r="J24" t="str">
        <f t="shared" si="6"/>
        <v>no</v>
      </c>
      <c r="K24" t="str">
        <f t="shared" si="7"/>
        <v>0.86</v>
      </c>
    </row>
    <row r="25" ht="15.75" customHeight="1">
      <c r="B25" t="str">
        <f t="shared" si="1"/>
        <v>2401600</v>
      </c>
      <c r="C25" s="4" t="str">
        <f t="shared" si="8"/>
        <v>0.95</v>
      </c>
      <c r="D25" t="str">
        <f t="shared" si="2"/>
        <v>0.56</v>
      </c>
      <c r="E25" t="str">
        <f t="shared" si="3"/>
        <v>1897264</v>
      </c>
      <c r="G25" t="str">
        <f t="shared" si="4"/>
        <v>0.71</v>
      </c>
      <c r="H25" t="str">
        <f t="shared" si="5"/>
        <v>2065376</v>
      </c>
      <c r="J25" t="str">
        <f t="shared" si="6"/>
        <v>no</v>
      </c>
      <c r="K25" t="str">
        <f t="shared" si="7"/>
        <v>0.86</v>
      </c>
      <c r="M25" t="s">
        <v>63</v>
      </c>
      <c r="N25" t="str">
        <f>IF(N14&gt;=17,P22,IF(N14&gt;=14,P21,IF(N14&gt;=11,P20,IF(N14&gt;=8,P19,IF(N14&gt;=6,P18,IF(N14&gt;=4,P17,0))))))</f>
        <v>0.23</v>
      </c>
    </row>
    <row r="26" ht="15.75" customHeight="1">
      <c r="B26" t="str">
        <f t="shared" si="1"/>
        <v>2426800</v>
      </c>
      <c r="C26" s="4" t="str">
        <f t="shared" si="8"/>
        <v>0.96</v>
      </c>
      <c r="D26" t="str">
        <f t="shared" si="2"/>
        <v>0.56</v>
      </c>
      <c r="E26" t="str">
        <f t="shared" si="3"/>
        <v>1917172</v>
      </c>
      <c r="G26" t="str">
        <f t="shared" si="4"/>
        <v>0.71</v>
      </c>
      <c r="H26" t="str">
        <f t="shared" si="5"/>
        <v>2087048</v>
      </c>
      <c r="J26" t="str">
        <f t="shared" si="6"/>
        <v>no</v>
      </c>
      <c r="K26" t="str">
        <f t="shared" si="7"/>
        <v>0.86</v>
      </c>
      <c r="M26" t="s">
        <v>64</v>
      </c>
      <c r="N26" t="str">
        <f>N25*B17</f>
        <v>506000</v>
      </c>
    </row>
    <row r="27" ht="15.75" customHeight="1">
      <c r="B27" t="str">
        <f t="shared" si="1"/>
        <v>2452000</v>
      </c>
      <c r="C27" s="4" t="str">
        <f t="shared" si="8"/>
        <v>0.97</v>
      </c>
      <c r="D27" t="str">
        <f t="shared" si="2"/>
        <v>0.56</v>
      </c>
      <c r="E27" t="str">
        <f t="shared" si="3"/>
        <v>1937080</v>
      </c>
      <c r="G27" t="str">
        <f t="shared" si="4"/>
        <v>0.71</v>
      </c>
      <c r="H27" t="str">
        <f t="shared" si="5"/>
        <v>2108720</v>
      </c>
      <c r="J27" t="str">
        <f t="shared" si="6"/>
        <v>no</v>
      </c>
      <c r="K27" t="str">
        <f t="shared" si="7"/>
        <v>0.86</v>
      </c>
    </row>
    <row r="28" ht="15.75" customHeight="1">
      <c r="B28" t="str">
        <f t="shared" si="1"/>
        <v>2477200</v>
      </c>
      <c r="C28" s="4" t="str">
        <f t="shared" si="8"/>
        <v>0.98</v>
      </c>
      <c r="D28" t="str">
        <f t="shared" si="2"/>
        <v>0.56</v>
      </c>
      <c r="E28" t="str">
        <f t="shared" si="3"/>
        <v>1956988</v>
      </c>
      <c r="G28" t="str">
        <f t="shared" si="4"/>
        <v>0.71</v>
      </c>
      <c r="H28" t="str">
        <f t="shared" si="5"/>
        <v>2130392</v>
      </c>
      <c r="J28" t="str">
        <f t="shared" si="6"/>
        <v>no</v>
      </c>
      <c r="K28" t="str">
        <f t="shared" si="7"/>
        <v>0.86</v>
      </c>
    </row>
    <row r="29" ht="15.75" customHeight="1">
      <c r="B29" t="str">
        <f t="shared" si="1"/>
        <v>2502400</v>
      </c>
      <c r="C29" s="4" t="str">
        <f t="shared" si="8"/>
        <v>0.99</v>
      </c>
      <c r="D29" t="str">
        <f t="shared" si="2"/>
        <v>0.56</v>
      </c>
      <c r="E29" t="str">
        <f t="shared" si="3"/>
        <v>1976896</v>
      </c>
      <c r="G29" t="str">
        <f t="shared" si="4"/>
        <v>0.71</v>
      </c>
      <c r="H29" t="str">
        <f t="shared" si="5"/>
        <v>2152064</v>
      </c>
      <c r="J29" t="str">
        <f t="shared" si="6"/>
        <v>no</v>
      </c>
      <c r="K29" t="str">
        <f t="shared" si="7"/>
        <v>0.86</v>
      </c>
    </row>
    <row r="30" ht="15.75" customHeight="1">
      <c r="B30" t="str">
        <f t="shared" si="1"/>
        <v>2527600</v>
      </c>
      <c r="C30" s="4" t="str">
        <f t="shared" si="8"/>
        <v>1.00</v>
      </c>
      <c r="D30" t="str">
        <f t="shared" si="2"/>
        <v>0.92</v>
      </c>
      <c r="E30" t="str">
        <f t="shared" si="3"/>
        <v>2906740</v>
      </c>
      <c r="G30" t="str">
        <f t="shared" si="4"/>
        <v>1.07</v>
      </c>
      <c r="H30" t="str">
        <f t="shared" si="5"/>
        <v>3083672</v>
      </c>
      <c r="J30" t="str">
        <f t="shared" si="6"/>
        <v>no</v>
      </c>
      <c r="K30" t="str">
        <f t="shared" si="7"/>
        <v>1.22</v>
      </c>
    </row>
    <row r="31" ht="15.75" customHeight="1">
      <c r="B31" t="str">
        <f t="shared" si="1"/>
        <v>2552800</v>
      </c>
      <c r="C31" s="4" t="str">
        <f t="shared" si="8"/>
        <v>1.01</v>
      </c>
      <c r="D31" t="str">
        <f t="shared" si="2"/>
        <v>0.92</v>
      </c>
      <c r="E31" t="str">
        <f t="shared" si="3"/>
        <v>2935720</v>
      </c>
      <c r="G31" t="str">
        <f t="shared" si="4"/>
        <v>1.07</v>
      </c>
      <c r="H31" t="str">
        <f t="shared" si="5"/>
        <v>3114416</v>
      </c>
      <c r="J31" t="str">
        <f t="shared" si="6"/>
        <v>no</v>
      </c>
      <c r="K31" t="str">
        <f t="shared" si="7"/>
        <v>1.22</v>
      </c>
    </row>
    <row r="32" ht="15.75" customHeight="1">
      <c r="B32" t="str">
        <f t="shared" si="1"/>
        <v>2578000</v>
      </c>
      <c r="C32" s="4" t="str">
        <f t="shared" si="8"/>
        <v>1.02</v>
      </c>
      <c r="D32" t="str">
        <f t="shared" si="2"/>
        <v>0.92</v>
      </c>
      <c r="E32" t="str">
        <f t="shared" si="3"/>
        <v>2964700</v>
      </c>
      <c r="G32" t="str">
        <f t="shared" si="4"/>
        <v>1.07</v>
      </c>
      <c r="H32" t="str">
        <f t="shared" si="5"/>
        <v>3145160</v>
      </c>
      <c r="J32" t="str">
        <f t="shared" si="6"/>
        <v>no</v>
      </c>
      <c r="K32" t="str">
        <f t="shared" si="7"/>
        <v>1.22</v>
      </c>
    </row>
    <row r="33" ht="15.75" customHeight="1">
      <c r="B33" t="str">
        <f t="shared" si="1"/>
        <v>2603200</v>
      </c>
      <c r="C33" s="4" t="str">
        <f t="shared" si="8"/>
        <v>1.03</v>
      </c>
      <c r="D33" t="str">
        <f t="shared" si="2"/>
        <v>0.92</v>
      </c>
      <c r="E33" t="str">
        <f t="shared" si="3"/>
        <v>2993680</v>
      </c>
      <c r="G33" t="str">
        <f t="shared" si="4"/>
        <v>1.07</v>
      </c>
      <c r="H33" t="str">
        <f t="shared" si="5"/>
        <v>3175904</v>
      </c>
      <c r="J33" t="str">
        <f t="shared" si="6"/>
        <v>no</v>
      </c>
      <c r="K33" t="str">
        <f t="shared" si="7"/>
        <v>1.22</v>
      </c>
    </row>
    <row r="34" ht="15.75" customHeight="1">
      <c r="B34" t="str">
        <f t="shared" si="1"/>
        <v>2628400</v>
      </c>
      <c r="C34" s="4" t="str">
        <f t="shared" si="8"/>
        <v>1.04</v>
      </c>
      <c r="D34" t="str">
        <f t="shared" si="2"/>
        <v>0.92</v>
      </c>
      <c r="E34" t="str">
        <f t="shared" si="3"/>
        <v>3022660</v>
      </c>
      <c r="G34" t="str">
        <f t="shared" si="4"/>
        <v>1.07</v>
      </c>
      <c r="H34" t="str">
        <f t="shared" si="5"/>
        <v>3206648</v>
      </c>
      <c r="J34" t="str">
        <f t="shared" si="6"/>
        <v>no</v>
      </c>
      <c r="K34" t="str">
        <f t="shared" si="7"/>
        <v>1.22</v>
      </c>
    </row>
    <row r="35" ht="15.75" customHeight="1">
      <c r="B35" t="str">
        <f t="shared" si="1"/>
        <v>2653600</v>
      </c>
      <c r="C35" s="4" t="str">
        <f t="shared" si="8"/>
        <v>1.05</v>
      </c>
      <c r="D35" t="str">
        <f t="shared" si="2"/>
        <v>0.92</v>
      </c>
      <c r="E35" t="str">
        <f t="shared" si="3"/>
        <v>3051640</v>
      </c>
      <c r="G35" t="str">
        <f t="shared" si="4"/>
        <v>1.07</v>
      </c>
      <c r="H35" t="str">
        <f t="shared" si="5"/>
        <v>3237392</v>
      </c>
      <c r="J35" t="str">
        <f t="shared" si="6"/>
        <v>no</v>
      </c>
      <c r="K35" t="str">
        <f t="shared" si="7"/>
        <v>1.22</v>
      </c>
    </row>
    <row r="36" ht="15.75" customHeight="1">
      <c r="B36" t="str">
        <f t="shared" si="1"/>
        <v>2678800</v>
      </c>
      <c r="C36" s="4" t="str">
        <f t="shared" si="8"/>
        <v>1.06</v>
      </c>
      <c r="D36" t="str">
        <f t="shared" si="2"/>
        <v>0.92</v>
      </c>
      <c r="E36" t="str">
        <f t="shared" si="3"/>
        <v>3080620</v>
      </c>
      <c r="G36" t="str">
        <f t="shared" si="4"/>
        <v>1.07</v>
      </c>
      <c r="H36" t="str">
        <f t="shared" si="5"/>
        <v>3268136</v>
      </c>
      <c r="J36" t="str">
        <f t="shared" si="6"/>
        <v>no</v>
      </c>
      <c r="K36" t="str">
        <f t="shared" si="7"/>
        <v>1.22</v>
      </c>
    </row>
    <row r="37" ht="15.75" customHeight="1">
      <c r="B37" t="str">
        <f t="shared" si="1"/>
        <v>2704000</v>
      </c>
      <c r="C37" s="4" t="str">
        <f t="shared" si="8"/>
        <v>1.07</v>
      </c>
      <c r="D37" t="str">
        <f t="shared" si="2"/>
        <v>0.92</v>
      </c>
      <c r="E37" t="str">
        <f t="shared" si="3"/>
        <v>3109600</v>
      </c>
      <c r="G37" t="str">
        <f t="shared" si="4"/>
        <v>1.07</v>
      </c>
      <c r="H37" t="str">
        <f t="shared" si="5"/>
        <v>3298880</v>
      </c>
      <c r="J37" t="str">
        <f t="shared" si="6"/>
        <v>no</v>
      </c>
      <c r="K37" t="str">
        <f t="shared" si="7"/>
        <v>1.22</v>
      </c>
    </row>
    <row r="38" ht="15.75" customHeight="1">
      <c r="B38" t="str">
        <f t="shared" si="1"/>
        <v>2729200</v>
      </c>
      <c r="C38" s="4" t="str">
        <f t="shared" si="8"/>
        <v>1.08</v>
      </c>
      <c r="D38" t="str">
        <f t="shared" si="2"/>
        <v>0.92</v>
      </c>
      <c r="E38" t="str">
        <f t="shared" si="3"/>
        <v>3138580</v>
      </c>
      <c r="G38" t="str">
        <f t="shared" si="4"/>
        <v>1.07</v>
      </c>
      <c r="H38" t="str">
        <f t="shared" si="5"/>
        <v>3329624</v>
      </c>
      <c r="J38" t="str">
        <f t="shared" si="6"/>
        <v>no</v>
      </c>
      <c r="K38" t="str">
        <f t="shared" si="7"/>
        <v>1.22</v>
      </c>
    </row>
    <row r="39" ht="15.75" customHeight="1">
      <c r="B39" t="str">
        <f t="shared" si="1"/>
        <v>2754400</v>
      </c>
      <c r="C39" s="4" t="str">
        <f t="shared" si="8"/>
        <v>1.09</v>
      </c>
      <c r="D39" t="str">
        <f t="shared" si="2"/>
        <v>0.92</v>
      </c>
      <c r="E39" t="str">
        <f t="shared" si="3"/>
        <v>3167560</v>
      </c>
      <c r="G39" t="str">
        <f t="shared" si="4"/>
        <v>1.07</v>
      </c>
      <c r="H39" t="str">
        <f t="shared" si="5"/>
        <v>3360368</v>
      </c>
      <c r="J39" t="str">
        <f t="shared" si="6"/>
        <v>no</v>
      </c>
      <c r="K39" t="str">
        <f t="shared" si="7"/>
        <v>1.22</v>
      </c>
    </row>
    <row r="40" ht="15.75" customHeight="1">
      <c r="B40" t="str">
        <f t="shared" si="1"/>
        <v>2779600</v>
      </c>
      <c r="C40" s="4" t="str">
        <f t="shared" si="8"/>
        <v>1.10</v>
      </c>
      <c r="D40" t="str">
        <f t="shared" si="2"/>
        <v>0.92</v>
      </c>
      <c r="E40" t="str">
        <f t="shared" si="3"/>
        <v>3196540</v>
      </c>
      <c r="G40" t="str">
        <f t="shared" si="4"/>
        <v>1.07</v>
      </c>
      <c r="H40" t="str">
        <f t="shared" si="5"/>
        <v>3391112</v>
      </c>
      <c r="J40" t="str">
        <f t="shared" si="6"/>
        <v>no</v>
      </c>
      <c r="K40" t="str">
        <f t="shared" si="7"/>
        <v>1.22</v>
      </c>
    </row>
    <row r="41" ht="15.75" customHeight="1">
      <c r="B41" t="str">
        <f t="shared" si="1"/>
        <v>2804800</v>
      </c>
      <c r="C41" s="4" t="str">
        <f t="shared" si="8"/>
        <v>1.11</v>
      </c>
      <c r="D41" t="str">
        <f t="shared" si="2"/>
        <v>0.92</v>
      </c>
      <c r="E41" t="str">
        <f t="shared" si="3"/>
        <v>3225520</v>
      </c>
      <c r="G41" t="str">
        <f t="shared" si="4"/>
        <v>1.07</v>
      </c>
      <c r="H41" t="str">
        <f t="shared" si="5"/>
        <v>3421856</v>
      </c>
      <c r="J41" t="str">
        <f t="shared" si="6"/>
        <v>no</v>
      </c>
      <c r="K41" t="str">
        <f t="shared" si="7"/>
        <v>1.22</v>
      </c>
    </row>
    <row r="42" ht="15.75" customHeight="1">
      <c r="B42" t="str">
        <f t="shared" si="1"/>
        <v>2830000</v>
      </c>
      <c r="C42" s="4" t="str">
        <f t="shared" si="8"/>
        <v>1.12</v>
      </c>
      <c r="D42" t="str">
        <f t="shared" si="2"/>
        <v>0.92</v>
      </c>
      <c r="E42" t="str">
        <f t="shared" si="3"/>
        <v>3254500</v>
      </c>
      <c r="G42" t="str">
        <f t="shared" si="4"/>
        <v>1.07</v>
      </c>
      <c r="H42" t="str">
        <f t="shared" si="5"/>
        <v>3452600</v>
      </c>
      <c r="J42" t="str">
        <f t="shared" si="6"/>
        <v>no</v>
      </c>
      <c r="K42" t="str">
        <f t="shared" si="7"/>
        <v>1.22</v>
      </c>
    </row>
    <row r="43" ht="15.75" customHeight="1">
      <c r="B43" t="str">
        <f t="shared" si="1"/>
        <v>2855200</v>
      </c>
      <c r="C43" s="4" t="str">
        <f t="shared" si="8"/>
        <v>1.13</v>
      </c>
      <c r="D43" t="str">
        <f t="shared" si="2"/>
        <v>0.92</v>
      </c>
      <c r="E43" t="str">
        <f t="shared" si="3"/>
        <v>3283480</v>
      </c>
      <c r="G43" t="str">
        <f t="shared" si="4"/>
        <v>1.07</v>
      </c>
      <c r="H43" t="str">
        <f t="shared" si="5"/>
        <v>3483344</v>
      </c>
      <c r="J43" t="str">
        <f t="shared" si="6"/>
        <v>no</v>
      </c>
      <c r="K43" t="str">
        <f t="shared" si="7"/>
        <v>1.22</v>
      </c>
    </row>
    <row r="44" ht="15.75" customHeight="1">
      <c r="B44" t="str">
        <f t="shared" si="1"/>
        <v>2880400</v>
      </c>
      <c r="C44" s="4" t="str">
        <f t="shared" si="8"/>
        <v>1.14</v>
      </c>
      <c r="D44" t="str">
        <f t="shared" si="2"/>
        <v>0.92</v>
      </c>
      <c r="E44" t="str">
        <f t="shared" si="3"/>
        <v>3312460</v>
      </c>
      <c r="G44" t="str">
        <f t="shared" si="4"/>
        <v>1.07</v>
      </c>
      <c r="H44" t="str">
        <f t="shared" si="5"/>
        <v>3514088</v>
      </c>
      <c r="J44" t="str">
        <f t="shared" si="6"/>
        <v>no</v>
      </c>
      <c r="K44" t="str">
        <f t="shared" si="7"/>
        <v>1.22</v>
      </c>
    </row>
    <row r="45" ht="15.75" customHeight="1">
      <c r="B45" t="str">
        <f t="shared" si="1"/>
        <v>2905600</v>
      </c>
      <c r="C45" s="4" t="str">
        <f t="shared" si="8"/>
        <v>1.15</v>
      </c>
      <c r="D45" t="str">
        <f t="shared" si="2"/>
        <v>0.92</v>
      </c>
      <c r="E45" t="str">
        <f t="shared" si="3"/>
        <v>3341440</v>
      </c>
      <c r="G45" t="str">
        <f t="shared" si="4"/>
        <v>1.07</v>
      </c>
      <c r="H45" t="str">
        <f t="shared" si="5"/>
        <v>3544832</v>
      </c>
      <c r="J45" t="str">
        <f t="shared" si="6"/>
        <v>no</v>
      </c>
      <c r="K45" t="str">
        <f t="shared" si="7"/>
        <v>1.22</v>
      </c>
    </row>
    <row r="46" ht="15.75" customHeight="1">
      <c r="B46" t="str">
        <f t="shared" si="1"/>
        <v>2930800</v>
      </c>
      <c r="C46" s="4" t="str">
        <f t="shared" si="8"/>
        <v>1.16</v>
      </c>
      <c r="D46" t="str">
        <f t="shared" si="2"/>
        <v>0.92</v>
      </c>
      <c r="E46" t="str">
        <f t="shared" si="3"/>
        <v>3370420</v>
      </c>
      <c r="G46" t="str">
        <f t="shared" si="4"/>
        <v>1.07</v>
      </c>
      <c r="H46" t="str">
        <f t="shared" si="5"/>
        <v>3575576</v>
      </c>
      <c r="J46" t="str">
        <f t="shared" si="6"/>
        <v>no</v>
      </c>
      <c r="K46" t="str">
        <f t="shared" si="7"/>
        <v>1.22</v>
      </c>
    </row>
    <row r="47" ht="15.75" customHeight="1">
      <c r="B47" t="str">
        <f t="shared" si="1"/>
        <v>2956000</v>
      </c>
      <c r="C47" s="4" t="str">
        <f t="shared" si="8"/>
        <v>1.17</v>
      </c>
      <c r="D47" t="str">
        <f t="shared" si="2"/>
        <v>0.92</v>
      </c>
      <c r="E47" t="str">
        <f t="shared" si="3"/>
        <v>3399400</v>
      </c>
      <c r="G47" t="str">
        <f t="shared" si="4"/>
        <v>1.07</v>
      </c>
      <c r="H47" t="str">
        <f t="shared" si="5"/>
        <v>3606320</v>
      </c>
      <c r="J47" t="str">
        <f t="shared" si="6"/>
        <v>no</v>
      </c>
      <c r="K47" t="str">
        <f t="shared" si="7"/>
        <v>1.22</v>
      </c>
    </row>
    <row r="48" ht="15.75" customHeight="1">
      <c r="B48" t="str">
        <f t="shared" si="1"/>
        <v>2981200</v>
      </c>
      <c r="C48" s="4" t="str">
        <f t="shared" si="8"/>
        <v>1.18</v>
      </c>
      <c r="D48" t="str">
        <f t="shared" si="2"/>
        <v>0.92</v>
      </c>
      <c r="E48" t="str">
        <f t="shared" si="3"/>
        <v>3428380</v>
      </c>
      <c r="G48" t="str">
        <f t="shared" si="4"/>
        <v>1.07</v>
      </c>
      <c r="H48" t="str">
        <f t="shared" si="5"/>
        <v>3637064</v>
      </c>
      <c r="J48" t="str">
        <f t="shared" si="6"/>
        <v>no</v>
      </c>
      <c r="K48" t="str">
        <f t="shared" si="7"/>
        <v>1.22</v>
      </c>
    </row>
    <row r="49" ht="15.75" customHeight="1">
      <c r="B49" t="str">
        <f t="shared" si="1"/>
        <v>3006400</v>
      </c>
      <c r="C49" s="4" t="str">
        <f t="shared" si="8"/>
        <v>1.19</v>
      </c>
      <c r="D49" t="str">
        <f t="shared" si="2"/>
        <v>0.92</v>
      </c>
      <c r="E49" t="str">
        <f t="shared" si="3"/>
        <v>3457360</v>
      </c>
      <c r="G49" t="str">
        <f t="shared" si="4"/>
        <v>1.07</v>
      </c>
      <c r="H49" t="str">
        <f t="shared" si="5"/>
        <v>3667808</v>
      </c>
      <c r="J49" t="str">
        <f t="shared" si="6"/>
        <v>no</v>
      </c>
      <c r="K49" t="str">
        <f t="shared" si="7"/>
        <v>1.22</v>
      </c>
    </row>
    <row r="50" ht="15.75" customHeight="1">
      <c r="B50" t="str">
        <f t="shared" si="1"/>
        <v>3031600</v>
      </c>
      <c r="C50" s="4" t="str">
        <f t="shared" si="8"/>
        <v>1.20</v>
      </c>
      <c r="D50" t="str">
        <f t="shared" si="2"/>
        <v>0.92</v>
      </c>
      <c r="E50" t="str">
        <f t="shared" si="3"/>
        <v>3486340</v>
      </c>
      <c r="G50" t="str">
        <f t="shared" si="4"/>
        <v>1.07</v>
      </c>
      <c r="H50" t="str">
        <f t="shared" si="5"/>
        <v>3698552</v>
      </c>
      <c r="J50" t="str">
        <f t="shared" si="6"/>
        <v>no</v>
      </c>
      <c r="K50" t="str">
        <f t="shared" si="7"/>
        <v>1.22</v>
      </c>
    </row>
    <row r="51" ht="15.75" customHeight="1">
      <c r="B51" t="str">
        <f t="shared" si="1"/>
        <v>3056800</v>
      </c>
      <c r="C51" s="4" t="str">
        <f t="shared" si="8"/>
        <v>1.21</v>
      </c>
      <c r="D51" t="str">
        <f t="shared" si="2"/>
        <v>0.92</v>
      </c>
      <c r="E51" t="str">
        <f t="shared" si="3"/>
        <v>3515320</v>
      </c>
      <c r="G51" t="str">
        <f t="shared" si="4"/>
        <v>1.07</v>
      </c>
      <c r="H51" t="str">
        <f t="shared" si="5"/>
        <v>3729296</v>
      </c>
      <c r="J51" t="str">
        <f t="shared" si="6"/>
        <v>no</v>
      </c>
      <c r="K51" t="str">
        <f t="shared" si="7"/>
        <v>1.22</v>
      </c>
    </row>
    <row r="52" ht="15.75" customHeight="1">
      <c r="B52" t="str">
        <f t="shared" si="1"/>
        <v>3082000</v>
      </c>
      <c r="C52" s="4" t="str">
        <f t="shared" si="8"/>
        <v>1.22</v>
      </c>
      <c r="D52" t="str">
        <f t="shared" si="2"/>
        <v>1.08</v>
      </c>
      <c r="E52" t="str">
        <f t="shared" si="3"/>
        <v>4037420</v>
      </c>
      <c r="G52" t="str">
        <f t="shared" si="4"/>
        <v>1.23</v>
      </c>
      <c r="H52" t="str">
        <f t="shared" si="5"/>
        <v>4253160</v>
      </c>
      <c r="J52" t="str">
        <f t="shared" si="6"/>
        <v>si</v>
      </c>
      <c r="K52" t="str">
        <f t="shared" si="7"/>
        <v>1.38</v>
      </c>
    </row>
    <row r="53" ht="15.75" customHeight="1">
      <c r="B53" t="str">
        <f t="shared" si="1"/>
        <v>3107200</v>
      </c>
      <c r="C53" s="4" t="str">
        <f t="shared" si="8"/>
        <v>1.23</v>
      </c>
      <c r="D53" t="str">
        <f t="shared" si="2"/>
        <v>1.08</v>
      </c>
      <c r="E53" t="str">
        <f t="shared" si="3"/>
        <v>4070432</v>
      </c>
      <c r="G53" t="str">
        <f t="shared" si="4"/>
        <v>1.23</v>
      </c>
      <c r="H53" t="str">
        <f t="shared" si="5"/>
        <v>4287936</v>
      </c>
      <c r="J53" t="str">
        <f t="shared" si="6"/>
        <v>si</v>
      </c>
      <c r="K53" t="str">
        <f t="shared" si="7"/>
        <v>1.38</v>
      </c>
    </row>
    <row r="54" ht="15.75" customHeight="1">
      <c r="B54" t="str">
        <f t="shared" si="1"/>
        <v>3132400</v>
      </c>
      <c r="C54" s="4" t="str">
        <f t="shared" si="8"/>
        <v>1.24</v>
      </c>
      <c r="D54" t="str">
        <f t="shared" si="2"/>
        <v>1.08</v>
      </c>
      <c r="E54" t="str">
        <f t="shared" si="3"/>
        <v>4103444</v>
      </c>
      <c r="G54" t="str">
        <f t="shared" si="4"/>
        <v>1.23</v>
      </c>
      <c r="H54" t="str">
        <f t="shared" si="5"/>
        <v>4322712</v>
      </c>
      <c r="J54" t="str">
        <f t="shared" si="6"/>
        <v>si</v>
      </c>
      <c r="K54" t="str">
        <f t="shared" si="7"/>
        <v>1.38</v>
      </c>
    </row>
    <row r="55" ht="15.75" customHeight="1">
      <c r="B55" t="str">
        <f t="shared" si="1"/>
        <v>3157600</v>
      </c>
      <c r="C55" s="4" t="str">
        <f t="shared" si="8"/>
        <v>1.25</v>
      </c>
      <c r="D55" t="str">
        <f t="shared" si="2"/>
        <v>1.08</v>
      </c>
      <c r="E55" t="str">
        <f t="shared" si="3"/>
        <v>4136456</v>
      </c>
      <c r="G55" t="str">
        <f t="shared" si="4"/>
        <v>1.23</v>
      </c>
      <c r="H55" t="str">
        <f t="shared" si="5"/>
        <v>4357488</v>
      </c>
      <c r="J55" t="str">
        <f t="shared" si="6"/>
        <v>si</v>
      </c>
      <c r="K55" t="str">
        <f t="shared" si="7"/>
        <v>1.38</v>
      </c>
    </row>
    <row r="56" ht="15.75" customHeight="1">
      <c r="B56" t="str">
        <f t="shared" si="1"/>
        <v>3182800</v>
      </c>
      <c r="C56" s="4" t="str">
        <f t="shared" si="8"/>
        <v>1.26</v>
      </c>
      <c r="D56" t="str">
        <f t="shared" si="2"/>
        <v>1.08</v>
      </c>
      <c r="E56" t="str">
        <f t="shared" si="3"/>
        <v>4169468</v>
      </c>
      <c r="G56" t="str">
        <f t="shared" si="4"/>
        <v>1.23</v>
      </c>
      <c r="H56" t="str">
        <f t="shared" si="5"/>
        <v>4392264</v>
      </c>
      <c r="J56" t="str">
        <f t="shared" si="6"/>
        <v>si</v>
      </c>
      <c r="K56" t="str">
        <f t="shared" si="7"/>
        <v>1.38</v>
      </c>
    </row>
    <row r="57" ht="15.75" customHeight="1">
      <c r="B57" t="str">
        <f t="shared" si="1"/>
        <v>3208000</v>
      </c>
      <c r="C57" s="4" t="str">
        <f t="shared" si="8"/>
        <v>1.27</v>
      </c>
      <c r="D57" t="str">
        <f t="shared" si="2"/>
        <v>1.08</v>
      </c>
      <c r="E57" t="str">
        <f t="shared" si="3"/>
        <v>4202480</v>
      </c>
      <c r="G57" t="str">
        <f t="shared" si="4"/>
        <v>1.23</v>
      </c>
      <c r="H57" t="str">
        <f t="shared" si="5"/>
        <v>4427040</v>
      </c>
      <c r="J57" t="str">
        <f t="shared" si="6"/>
        <v>si</v>
      </c>
      <c r="K57" t="str">
        <f t="shared" si="7"/>
        <v>1.38</v>
      </c>
    </row>
    <row r="58" ht="15.75" customHeight="1">
      <c r="B58" t="str">
        <f t="shared" si="1"/>
        <v>3233200</v>
      </c>
      <c r="C58" s="4" t="str">
        <f t="shared" si="8"/>
        <v>1.28</v>
      </c>
      <c r="D58" t="str">
        <f t="shared" si="2"/>
        <v>1.08</v>
      </c>
      <c r="E58" t="str">
        <f t="shared" si="3"/>
        <v>4235492</v>
      </c>
      <c r="G58" t="str">
        <f t="shared" si="4"/>
        <v>1.23</v>
      </c>
      <c r="H58" t="str">
        <f t="shared" si="5"/>
        <v>4461816</v>
      </c>
      <c r="J58" t="str">
        <f t="shared" si="6"/>
        <v>si</v>
      </c>
      <c r="K58" t="str">
        <f t="shared" si="7"/>
        <v>1.38</v>
      </c>
    </row>
    <row r="59" ht="15.75" customHeight="1">
      <c r="B59" t="str">
        <f t="shared" si="1"/>
        <v>3258400</v>
      </c>
      <c r="C59" s="4" t="str">
        <f t="shared" si="8"/>
        <v>1.29</v>
      </c>
      <c r="D59" t="str">
        <f t="shared" si="2"/>
        <v>1.08</v>
      </c>
      <c r="E59" t="str">
        <f t="shared" si="3"/>
        <v>4268504</v>
      </c>
      <c r="G59" t="str">
        <f t="shared" si="4"/>
        <v>1.23</v>
      </c>
      <c r="H59" t="str">
        <f t="shared" si="5"/>
        <v>4496592</v>
      </c>
      <c r="J59" t="str">
        <f t="shared" si="6"/>
        <v>si</v>
      </c>
      <c r="K59" t="str">
        <f t="shared" si="7"/>
        <v>1.38</v>
      </c>
    </row>
    <row r="60" ht="15.75" customHeight="1">
      <c r="B60" t="str">
        <f t="shared" si="1"/>
        <v>3283600</v>
      </c>
      <c r="C60" s="4" t="str">
        <f t="shared" si="8"/>
        <v>1.30</v>
      </c>
      <c r="D60" t="str">
        <f t="shared" si="2"/>
        <v>1.08</v>
      </c>
      <c r="E60" t="str">
        <f t="shared" si="3"/>
        <v>4301516</v>
      </c>
      <c r="G60" t="str">
        <f t="shared" si="4"/>
        <v>1.23</v>
      </c>
      <c r="H60" t="str">
        <f t="shared" si="5"/>
        <v>4531368</v>
      </c>
      <c r="J60" t="str">
        <f t="shared" si="6"/>
        <v>si</v>
      </c>
      <c r="K60" t="str">
        <f t="shared" si="7"/>
        <v>1.38</v>
      </c>
    </row>
    <row r="61" ht="15.75" customHeight="1">
      <c r="B61" t="str">
        <f t="shared" si="1"/>
        <v>3308800</v>
      </c>
      <c r="C61" s="4" t="str">
        <f t="shared" si="8"/>
        <v>1.31</v>
      </c>
      <c r="D61" t="str">
        <f t="shared" si="2"/>
        <v>1.08</v>
      </c>
      <c r="E61" t="str">
        <f t="shared" si="3"/>
        <v>4334528</v>
      </c>
      <c r="G61" t="str">
        <f t="shared" si="4"/>
        <v>1.23</v>
      </c>
      <c r="H61" t="str">
        <f t="shared" si="5"/>
        <v>4566144</v>
      </c>
      <c r="J61" t="str">
        <f t="shared" si="6"/>
        <v>si</v>
      </c>
      <c r="K61" t="str">
        <f t="shared" si="7"/>
        <v>1.38</v>
      </c>
    </row>
    <row r="62" ht="15.75" customHeight="1">
      <c r="B62" t="str">
        <f t="shared" si="1"/>
        <v>3334000</v>
      </c>
      <c r="C62" s="4" t="str">
        <f t="shared" si="8"/>
        <v>1.32</v>
      </c>
      <c r="D62" t="str">
        <f t="shared" si="2"/>
        <v>1.08</v>
      </c>
      <c r="E62" t="str">
        <f t="shared" si="3"/>
        <v>4367540</v>
      </c>
      <c r="G62" t="str">
        <f t="shared" si="4"/>
        <v>1.23</v>
      </c>
      <c r="H62" t="str">
        <f t="shared" si="5"/>
        <v>4600920</v>
      </c>
      <c r="J62" t="str">
        <f t="shared" si="6"/>
        <v>si</v>
      </c>
      <c r="K62" t="str">
        <f t="shared" si="7"/>
        <v>1.38</v>
      </c>
    </row>
    <row r="63" ht="15.75" customHeight="1">
      <c r="B63" t="str">
        <f t="shared" si="1"/>
        <v>3359200</v>
      </c>
      <c r="C63" s="4" t="str">
        <f t="shared" si="8"/>
        <v>1.33</v>
      </c>
      <c r="D63" t="str">
        <f t="shared" si="2"/>
        <v>1.08</v>
      </c>
      <c r="E63" t="str">
        <f t="shared" si="3"/>
        <v>4400552</v>
      </c>
      <c r="G63" t="str">
        <f t="shared" si="4"/>
        <v>1.23</v>
      </c>
      <c r="H63" t="str">
        <f t="shared" si="5"/>
        <v>4635696</v>
      </c>
      <c r="J63" t="str">
        <f t="shared" si="6"/>
        <v>si</v>
      </c>
      <c r="K63" t="str">
        <f t="shared" si="7"/>
        <v>1.38</v>
      </c>
    </row>
    <row r="64" ht="15.75" customHeight="1">
      <c r="B64" t="str">
        <f t="shared" si="1"/>
        <v>3384400</v>
      </c>
      <c r="C64" s="4" t="str">
        <f t="shared" si="8"/>
        <v>1.34</v>
      </c>
      <c r="D64" t="str">
        <f t="shared" si="2"/>
        <v>1.08</v>
      </c>
      <c r="E64" t="str">
        <f t="shared" si="3"/>
        <v>4433564</v>
      </c>
      <c r="G64" t="str">
        <f t="shared" si="4"/>
        <v>1.23</v>
      </c>
      <c r="H64" t="str">
        <f t="shared" si="5"/>
        <v>4670472</v>
      </c>
      <c r="J64" t="str">
        <f t="shared" si="6"/>
        <v>si</v>
      </c>
      <c r="K64" t="str">
        <f t="shared" si="7"/>
        <v>1.38</v>
      </c>
    </row>
    <row r="65" ht="15.75" customHeight="1">
      <c r="B65" t="str">
        <f t="shared" si="1"/>
        <v>3409600</v>
      </c>
      <c r="C65" s="4" t="str">
        <f t="shared" si="8"/>
        <v>1.35</v>
      </c>
      <c r="D65" t="str">
        <f t="shared" si="2"/>
        <v>1.08</v>
      </c>
      <c r="E65" t="str">
        <f t="shared" si="3"/>
        <v>4466576</v>
      </c>
      <c r="G65" t="str">
        <f t="shared" si="4"/>
        <v>1.23</v>
      </c>
      <c r="H65" t="str">
        <f t="shared" si="5"/>
        <v>4705248</v>
      </c>
      <c r="J65" t="str">
        <f t="shared" si="6"/>
        <v>si</v>
      </c>
      <c r="K65" t="str">
        <f t="shared" si="7"/>
        <v>1.38</v>
      </c>
    </row>
    <row r="66" ht="15.75" customHeight="1">
      <c r="B66" t="str">
        <f t="shared" si="1"/>
        <v>3434800</v>
      </c>
      <c r="C66" s="4" t="str">
        <f t="shared" si="8"/>
        <v>1.36</v>
      </c>
      <c r="D66" t="str">
        <f t="shared" si="2"/>
        <v>1.08</v>
      </c>
      <c r="E66" t="str">
        <f t="shared" si="3"/>
        <v>4499588</v>
      </c>
      <c r="G66" t="str">
        <f t="shared" si="4"/>
        <v>1.23</v>
      </c>
      <c r="H66" t="str">
        <f t="shared" si="5"/>
        <v>4740024</v>
      </c>
      <c r="J66" t="str">
        <f t="shared" si="6"/>
        <v>si</v>
      </c>
      <c r="K66" t="str">
        <f t="shared" si="7"/>
        <v>1.38</v>
      </c>
    </row>
    <row r="67" ht="15.75" customHeight="1">
      <c r="B67" t="str">
        <f t="shared" si="1"/>
        <v>3460000</v>
      </c>
      <c r="C67" s="4" t="str">
        <f t="shared" si="8"/>
        <v>1.37</v>
      </c>
      <c r="D67" t="str">
        <f t="shared" si="2"/>
        <v>1.08</v>
      </c>
      <c r="E67" t="str">
        <f t="shared" si="3"/>
        <v>4532600</v>
      </c>
      <c r="G67" t="str">
        <f t="shared" si="4"/>
        <v>1.23</v>
      </c>
      <c r="H67" t="str">
        <f t="shared" si="5"/>
        <v>4774800</v>
      </c>
      <c r="J67" t="str">
        <f t="shared" si="6"/>
        <v>si</v>
      </c>
      <c r="K67" t="str">
        <f t="shared" si="7"/>
        <v>1.38</v>
      </c>
    </row>
    <row r="68" ht="15.75" customHeight="1">
      <c r="B68" t="str">
        <f t="shared" si="1"/>
        <v>3485200</v>
      </c>
      <c r="C68" s="4" t="str">
        <f t="shared" si="8"/>
        <v>1.38</v>
      </c>
      <c r="D68" t="str">
        <f t="shared" si="2"/>
        <v>1.08</v>
      </c>
      <c r="E68" t="str">
        <f t="shared" si="3"/>
        <v>4565612</v>
      </c>
      <c r="G68" t="str">
        <f t="shared" si="4"/>
        <v>1.23</v>
      </c>
      <c r="H68" t="str">
        <f t="shared" si="5"/>
        <v>4809576</v>
      </c>
      <c r="J68" t="str">
        <f t="shared" si="6"/>
        <v>si</v>
      </c>
      <c r="K68" t="str">
        <f t="shared" si="7"/>
        <v>1.38</v>
      </c>
    </row>
    <row r="69" ht="15.75" customHeight="1">
      <c r="B69" t="str">
        <f t="shared" si="1"/>
        <v>3510400</v>
      </c>
      <c r="C69" s="4" t="str">
        <f t="shared" si="8"/>
        <v>1.39</v>
      </c>
      <c r="D69" t="str">
        <f t="shared" si="2"/>
        <v>1.08</v>
      </c>
      <c r="E69" t="str">
        <f t="shared" si="3"/>
        <v>4598624</v>
      </c>
      <c r="G69" t="str">
        <f t="shared" si="4"/>
        <v>1.23</v>
      </c>
      <c r="H69" t="str">
        <f t="shared" si="5"/>
        <v>4844352</v>
      </c>
      <c r="J69" t="str">
        <f t="shared" si="6"/>
        <v>si</v>
      </c>
      <c r="K69" t="str">
        <f t="shared" si="7"/>
        <v>1.38</v>
      </c>
    </row>
    <row r="70" ht="15.75" customHeight="1">
      <c r="B70" t="str">
        <f t="shared" si="1"/>
        <v>3535600</v>
      </c>
      <c r="C70" s="4" t="str">
        <f t="shared" si="8"/>
        <v>1.40</v>
      </c>
      <c r="D70" t="str">
        <f t="shared" si="2"/>
        <v>1.08</v>
      </c>
      <c r="E70" t="str">
        <f t="shared" si="3"/>
        <v>4631636</v>
      </c>
      <c r="G70" t="str">
        <f t="shared" si="4"/>
        <v>1.23</v>
      </c>
      <c r="H70" t="str">
        <f t="shared" si="5"/>
        <v>4879128</v>
      </c>
      <c r="J70" t="str">
        <f t="shared" si="6"/>
        <v>si</v>
      </c>
      <c r="K70" t="str">
        <f t="shared" si="7"/>
        <v>1.38</v>
      </c>
    </row>
    <row r="71" ht="15.75" customHeight="1">
      <c r="B71" t="str">
        <f t="shared" si="1"/>
        <v>3560800</v>
      </c>
      <c r="C71" s="4" t="str">
        <f t="shared" si="8"/>
        <v>1.41</v>
      </c>
      <c r="D71" t="str">
        <f t="shared" si="2"/>
        <v>1.08</v>
      </c>
      <c r="E71" t="str">
        <f t="shared" si="3"/>
        <v>4664648</v>
      </c>
      <c r="G71" t="str">
        <f t="shared" si="4"/>
        <v>1.23</v>
      </c>
      <c r="H71" t="str">
        <f t="shared" si="5"/>
        <v>4913904</v>
      </c>
      <c r="J71" t="str">
        <f t="shared" si="6"/>
        <v>si</v>
      </c>
      <c r="K71" t="str">
        <f t="shared" si="7"/>
        <v>1.38</v>
      </c>
    </row>
    <row r="72" ht="15.75" customHeight="1">
      <c r="B72" t="str">
        <f t="shared" si="1"/>
        <v>3586000</v>
      </c>
      <c r="C72" s="4" t="str">
        <f t="shared" si="8"/>
        <v>1.42</v>
      </c>
      <c r="D72" t="str">
        <f t="shared" si="2"/>
        <v>1.08</v>
      </c>
      <c r="E72" t="str">
        <f t="shared" si="3"/>
        <v>4697660</v>
      </c>
      <c r="G72" t="str">
        <f t="shared" si="4"/>
        <v>1.23</v>
      </c>
      <c r="H72" t="str">
        <f t="shared" si="5"/>
        <v>4948680</v>
      </c>
      <c r="J72" t="str">
        <f t="shared" si="6"/>
        <v>si</v>
      </c>
      <c r="K72" t="str">
        <f t="shared" si="7"/>
        <v>1.38</v>
      </c>
    </row>
    <row r="73" ht="15.75" customHeight="1">
      <c r="B73" t="str">
        <f t="shared" si="1"/>
        <v>3611200</v>
      </c>
      <c r="C73" s="4" t="str">
        <f t="shared" si="8"/>
        <v>1.43</v>
      </c>
      <c r="D73" t="str">
        <f t="shared" si="2"/>
        <v>1.08</v>
      </c>
      <c r="E73" t="str">
        <f t="shared" si="3"/>
        <v>4730672</v>
      </c>
      <c r="G73" t="str">
        <f t="shared" si="4"/>
        <v>1.23</v>
      </c>
      <c r="H73" t="str">
        <f t="shared" si="5"/>
        <v>4983456</v>
      </c>
      <c r="J73" t="str">
        <f t="shared" si="6"/>
        <v>si</v>
      </c>
      <c r="K73" t="str">
        <f t="shared" si="7"/>
        <v>1.38</v>
      </c>
    </row>
    <row r="74" ht="15.75" customHeight="1">
      <c r="B74" t="str">
        <f t="shared" si="1"/>
        <v>3636400</v>
      </c>
      <c r="C74" s="4" t="str">
        <f t="shared" si="8"/>
        <v>1.44</v>
      </c>
      <c r="D74" t="str">
        <f t="shared" si="2"/>
        <v>1.08</v>
      </c>
      <c r="E74" t="str">
        <f t="shared" si="3"/>
        <v>4763684</v>
      </c>
      <c r="G74" t="str">
        <f t="shared" si="4"/>
        <v>1.23</v>
      </c>
      <c r="H74" t="str">
        <f t="shared" si="5"/>
        <v>5018232</v>
      </c>
      <c r="J74" t="str">
        <f t="shared" si="6"/>
        <v>si</v>
      </c>
      <c r="K74" t="str">
        <f t="shared" si="7"/>
        <v>1.38</v>
      </c>
    </row>
    <row r="75" ht="15.75" customHeight="1">
      <c r="B75" t="str">
        <f t="shared" si="1"/>
        <v>3661600</v>
      </c>
      <c r="C75" s="4" t="str">
        <f t="shared" si="8"/>
        <v>1.45</v>
      </c>
      <c r="D75" t="str">
        <f t="shared" si="2"/>
        <v>1.08</v>
      </c>
      <c r="E75" t="str">
        <f t="shared" si="3"/>
        <v>4796696</v>
      </c>
      <c r="G75" t="str">
        <f t="shared" si="4"/>
        <v>1.23</v>
      </c>
      <c r="H75" t="str">
        <f t="shared" si="5"/>
        <v>5053008</v>
      </c>
      <c r="J75" t="str">
        <f t="shared" si="6"/>
        <v>si</v>
      </c>
      <c r="K75" t="str">
        <f t="shared" si="7"/>
        <v>1.38</v>
      </c>
    </row>
    <row r="76" ht="15.75" customHeight="1">
      <c r="B76" t="str">
        <f t="shared" si="1"/>
        <v>3686800</v>
      </c>
      <c r="C76" s="4" t="str">
        <f t="shared" si="8"/>
        <v>1.46</v>
      </c>
      <c r="D76" t="str">
        <f t="shared" si="2"/>
        <v>1.08</v>
      </c>
      <c r="E76" t="str">
        <f t="shared" si="3"/>
        <v>4829708</v>
      </c>
      <c r="G76" t="str">
        <f t="shared" si="4"/>
        <v>1.23</v>
      </c>
      <c r="H76" t="str">
        <f t="shared" si="5"/>
        <v>5087784</v>
      </c>
      <c r="J76" t="str">
        <f t="shared" si="6"/>
        <v>si</v>
      </c>
      <c r="K76" t="str">
        <f t="shared" si="7"/>
        <v>1.38</v>
      </c>
    </row>
    <row r="77" ht="15.75" customHeight="1">
      <c r="B77" t="str">
        <f t="shared" si="1"/>
        <v>3712000</v>
      </c>
      <c r="C77" s="4" t="str">
        <f t="shared" si="8"/>
        <v>1.47</v>
      </c>
      <c r="D77" t="str">
        <f t="shared" si="2"/>
        <v>1.08</v>
      </c>
      <c r="E77" t="str">
        <f t="shared" si="3"/>
        <v>4862720</v>
      </c>
      <c r="G77" t="str">
        <f t="shared" si="4"/>
        <v>1.23</v>
      </c>
      <c r="H77" t="str">
        <f t="shared" si="5"/>
        <v>5122560</v>
      </c>
      <c r="J77" t="str">
        <f t="shared" si="6"/>
        <v>si</v>
      </c>
      <c r="K77" t="str">
        <f t="shared" si="7"/>
        <v>1.38</v>
      </c>
    </row>
    <row r="78" ht="15.75" customHeight="1">
      <c r="B78" t="str">
        <f t="shared" si="1"/>
        <v>3737200</v>
      </c>
      <c r="C78" s="4" t="str">
        <f t="shared" si="8"/>
        <v>1.48</v>
      </c>
      <c r="D78" t="str">
        <f t="shared" si="2"/>
        <v>1.08</v>
      </c>
      <c r="E78" t="str">
        <f t="shared" si="3"/>
        <v>4895732</v>
      </c>
      <c r="G78" t="str">
        <f t="shared" si="4"/>
        <v>1.23</v>
      </c>
      <c r="H78" t="str">
        <f t="shared" si="5"/>
        <v>5157336</v>
      </c>
      <c r="J78" t="str">
        <f t="shared" si="6"/>
        <v>si</v>
      </c>
      <c r="K78" t="str">
        <f t="shared" si="7"/>
        <v>1.38</v>
      </c>
    </row>
    <row r="79" ht="15.75" customHeight="1">
      <c r="B79" t="str">
        <f t="shared" si="1"/>
        <v>3762400</v>
      </c>
      <c r="C79" s="4" t="str">
        <f t="shared" si="8"/>
        <v>1.49</v>
      </c>
      <c r="D79" t="str">
        <f t="shared" si="2"/>
        <v>1.08</v>
      </c>
      <c r="E79" t="str">
        <f t="shared" si="3"/>
        <v>4928744</v>
      </c>
      <c r="G79" t="str">
        <f t="shared" si="4"/>
        <v>1.23</v>
      </c>
      <c r="H79" t="str">
        <f t="shared" si="5"/>
        <v>5192112</v>
      </c>
      <c r="J79" t="str">
        <f t="shared" si="6"/>
        <v>si</v>
      </c>
      <c r="K79" t="str">
        <f t="shared" si="7"/>
        <v>1.38</v>
      </c>
    </row>
    <row r="80" ht="15.75" customHeight="1">
      <c r="B80" t="str">
        <f t="shared" si="1"/>
        <v>3787600</v>
      </c>
      <c r="C80" s="4" t="str">
        <f t="shared" si="8"/>
        <v>1.50</v>
      </c>
      <c r="D80" t="str">
        <f t="shared" si="2"/>
        <v>1.08</v>
      </c>
      <c r="E80" t="str">
        <f t="shared" si="3"/>
        <v>4961756</v>
      </c>
      <c r="G80" t="str">
        <f t="shared" si="4"/>
        <v>1.23</v>
      </c>
      <c r="H80" t="str">
        <f t="shared" si="5"/>
        <v>5226888</v>
      </c>
      <c r="J80" t="str">
        <f t="shared" si="6"/>
        <v>si</v>
      </c>
      <c r="K80" t="str">
        <f t="shared" si="7"/>
        <v>1.38</v>
      </c>
    </row>
    <row r="81" ht="15.75" customHeight="1">
      <c r="B81" t="str">
        <f t="shared" si="1"/>
        <v>3812800</v>
      </c>
      <c r="C81" s="4" t="str">
        <f t="shared" si="8"/>
        <v>1.51</v>
      </c>
      <c r="D81" t="str">
        <f t="shared" si="2"/>
        <v>1.08</v>
      </c>
      <c r="E81" t="str">
        <f t="shared" si="3"/>
        <v>4994768</v>
      </c>
      <c r="G81" t="str">
        <f t="shared" si="4"/>
        <v>1.23</v>
      </c>
      <c r="H81" t="str">
        <f t="shared" si="5"/>
        <v>5261664</v>
      </c>
      <c r="J81" t="str">
        <f t="shared" si="6"/>
        <v>si</v>
      </c>
      <c r="K81" t="str">
        <f t="shared" si="7"/>
        <v>1.38</v>
      </c>
    </row>
    <row r="82" ht="15.75" customHeight="1">
      <c r="B82" t="str">
        <f t="shared" si="1"/>
        <v>3838000</v>
      </c>
      <c r="C82" s="4" t="str">
        <f t="shared" si="8"/>
        <v>1.52</v>
      </c>
      <c r="D82" t="str">
        <f t="shared" si="2"/>
        <v>1.08</v>
      </c>
      <c r="E82" t="str">
        <f t="shared" si="3"/>
        <v>5027780</v>
      </c>
      <c r="G82" t="str">
        <f t="shared" si="4"/>
        <v>1.23</v>
      </c>
      <c r="H82" t="str">
        <f t="shared" si="5"/>
        <v>5296440</v>
      </c>
      <c r="J82" t="str">
        <f t="shared" si="6"/>
        <v>si</v>
      </c>
      <c r="K82" t="str">
        <f t="shared" si="7"/>
        <v>1.38</v>
      </c>
    </row>
    <row r="83" ht="15.75" customHeight="1">
      <c r="B83" t="str">
        <f t="shared" si="1"/>
        <v>3863200</v>
      </c>
      <c r="C83" s="4" t="str">
        <f t="shared" si="8"/>
        <v>1.53</v>
      </c>
      <c r="D83" t="str">
        <f t="shared" si="2"/>
        <v>1.08</v>
      </c>
      <c r="E83" t="str">
        <f t="shared" si="3"/>
        <v>5060792</v>
      </c>
      <c r="G83" t="str">
        <f t="shared" si="4"/>
        <v>1.23</v>
      </c>
      <c r="H83" t="str">
        <f t="shared" si="5"/>
        <v>5331216</v>
      </c>
      <c r="J83" t="str">
        <f t="shared" si="6"/>
        <v>si</v>
      </c>
      <c r="K83" t="str">
        <f t="shared" si="7"/>
        <v>1.38</v>
      </c>
    </row>
    <row r="84" ht="15.75" customHeight="1">
      <c r="B84" t="str">
        <f t="shared" si="1"/>
        <v>3888400</v>
      </c>
      <c r="C84" s="4" t="str">
        <f t="shared" si="8"/>
        <v>1.54</v>
      </c>
      <c r="D84" t="str">
        <f t="shared" si="2"/>
        <v>1.08</v>
      </c>
      <c r="E84" t="str">
        <f t="shared" si="3"/>
        <v>5093804</v>
      </c>
      <c r="G84" t="str">
        <f t="shared" si="4"/>
        <v>1.23</v>
      </c>
      <c r="H84" t="str">
        <f t="shared" si="5"/>
        <v>5365992</v>
      </c>
      <c r="J84" t="str">
        <f t="shared" si="6"/>
        <v>si</v>
      </c>
      <c r="K84" t="str">
        <f t="shared" si="7"/>
        <v>1.38</v>
      </c>
    </row>
    <row r="85" ht="15.75" customHeight="1">
      <c r="B85" t="str">
        <f t="shared" si="1"/>
        <v>3913600</v>
      </c>
      <c r="C85" s="4" t="str">
        <f t="shared" si="8"/>
        <v>1.55</v>
      </c>
      <c r="D85" t="str">
        <f t="shared" si="2"/>
        <v>1.08</v>
      </c>
      <c r="E85" t="str">
        <f t="shared" si="3"/>
        <v>5126816</v>
      </c>
      <c r="G85" t="str">
        <f t="shared" si="4"/>
        <v>1.23</v>
      </c>
      <c r="H85" t="str">
        <f t="shared" si="5"/>
        <v>5400768</v>
      </c>
      <c r="J85" t="str">
        <f t="shared" si="6"/>
        <v>si</v>
      </c>
      <c r="K85" t="str">
        <f t="shared" si="7"/>
        <v>1.38</v>
      </c>
    </row>
    <row r="86" ht="15.75" customHeight="1">
      <c r="B86" t="str">
        <f t="shared" si="1"/>
        <v>3938800</v>
      </c>
      <c r="C86" s="4" t="str">
        <f t="shared" si="8"/>
        <v>1.56</v>
      </c>
      <c r="D86" t="str">
        <f t="shared" si="2"/>
        <v>1.28</v>
      </c>
      <c r="E86" t="str">
        <f t="shared" si="3"/>
        <v>5947588</v>
      </c>
      <c r="G86" t="str">
        <f t="shared" si="4"/>
        <v>1.43</v>
      </c>
      <c r="H86" t="str">
        <f t="shared" si="5"/>
        <v>6223304</v>
      </c>
      <c r="J86" t="str">
        <f t="shared" si="6"/>
        <v>si</v>
      </c>
      <c r="K86" t="str">
        <f t="shared" si="7"/>
        <v>1.58</v>
      </c>
    </row>
    <row r="87" ht="15.75" customHeight="1">
      <c r="B87" t="str">
        <f t="shared" si="1"/>
        <v>3964000</v>
      </c>
      <c r="C87" s="4" t="str">
        <f t="shared" si="8"/>
        <v>1.57</v>
      </c>
      <c r="D87" t="str">
        <f t="shared" si="2"/>
        <v>1.28</v>
      </c>
      <c r="E87" t="str">
        <f t="shared" si="3"/>
        <v>5985640</v>
      </c>
      <c r="G87" t="str">
        <f t="shared" si="4"/>
        <v>1.43</v>
      </c>
      <c r="H87" t="str">
        <f t="shared" si="5"/>
        <v>6263120</v>
      </c>
      <c r="J87" t="str">
        <f t="shared" si="6"/>
        <v>si</v>
      </c>
      <c r="K87" t="str">
        <f t="shared" si="7"/>
        <v>1.58</v>
      </c>
    </row>
    <row r="88" ht="15.75" customHeight="1">
      <c r="B88" t="str">
        <f t="shared" si="1"/>
        <v>3989200</v>
      </c>
      <c r="C88" s="4" t="str">
        <f t="shared" si="8"/>
        <v>1.58</v>
      </c>
      <c r="D88" t="str">
        <f t="shared" si="2"/>
        <v>1.28</v>
      </c>
      <c r="E88" t="str">
        <f t="shared" si="3"/>
        <v>6023692</v>
      </c>
      <c r="G88" t="str">
        <f t="shared" si="4"/>
        <v>1.43</v>
      </c>
      <c r="H88" t="str">
        <f t="shared" si="5"/>
        <v>6302936</v>
      </c>
      <c r="J88" t="str">
        <f t="shared" si="6"/>
        <v>si</v>
      </c>
      <c r="K88" t="str">
        <f t="shared" si="7"/>
        <v>1.58</v>
      </c>
    </row>
    <row r="89" ht="15.75" customHeight="1">
      <c r="B89" t="str">
        <f t="shared" si="1"/>
        <v>4014400</v>
      </c>
      <c r="C89" s="4" t="str">
        <f t="shared" si="8"/>
        <v>1.59</v>
      </c>
      <c r="D89" t="str">
        <f t="shared" si="2"/>
        <v>1.28</v>
      </c>
      <c r="E89" t="str">
        <f t="shared" si="3"/>
        <v>6061744</v>
      </c>
      <c r="G89" t="str">
        <f t="shared" si="4"/>
        <v>1.43</v>
      </c>
      <c r="H89" t="str">
        <f t="shared" si="5"/>
        <v>6342752</v>
      </c>
      <c r="J89" t="str">
        <f t="shared" si="6"/>
        <v>si</v>
      </c>
      <c r="K89" t="str">
        <f t="shared" si="7"/>
        <v>1.58</v>
      </c>
    </row>
    <row r="90" ht="15.75" customHeight="1">
      <c r="B90" t="str">
        <f t="shared" si="1"/>
        <v>4039600</v>
      </c>
      <c r="C90" s="4" t="str">
        <f t="shared" si="8"/>
        <v>1.60</v>
      </c>
      <c r="D90" t="str">
        <f t="shared" si="2"/>
        <v>1.28</v>
      </c>
      <c r="E90" t="str">
        <f t="shared" si="3"/>
        <v>6099796</v>
      </c>
      <c r="G90" t="str">
        <f t="shared" si="4"/>
        <v>1.43</v>
      </c>
      <c r="H90" t="str">
        <f t="shared" si="5"/>
        <v>6382568</v>
      </c>
      <c r="J90" t="str">
        <f t="shared" si="6"/>
        <v>si</v>
      </c>
      <c r="K90" t="str">
        <f t="shared" si="7"/>
        <v>1.58</v>
      </c>
    </row>
    <row r="91" ht="15.75" customHeight="1">
      <c r="B91" t="str">
        <f t="shared" si="1"/>
        <v>4064800</v>
      </c>
      <c r="C91" s="4" t="str">
        <f t="shared" si="8"/>
        <v>1.61</v>
      </c>
      <c r="D91" t="str">
        <f t="shared" si="2"/>
        <v>1.28</v>
      </c>
      <c r="E91" t="str">
        <f t="shared" si="3"/>
        <v>6137848</v>
      </c>
      <c r="G91" t="str">
        <f t="shared" si="4"/>
        <v>1.43</v>
      </c>
      <c r="H91" t="str">
        <f t="shared" si="5"/>
        <v>6422384</v>
      </c>
      <c r="J91" t="str">
        <f t="shared" si="6"/>
        <v>si</v>
      </c>
      <c r="K91" t="str">
        <f t="shared" si="7"/>
        <v>1.58</v>
      </c>
    </row>
    <row r="92" ht="15.75" customHeight="1">
      <c r="B92" t="str">
        <f t="shared" si="1"/>
        <v>4090000</v>
      </c>
      <c r="C92" s="4" t="str">
        <f t="shared" si="8"/>
        <v>1.62</v>
      </c>
      <c r="D92" t="str">
        <f t="shared" si="2"/>
        <v>1.28</v>
      </c>
      <c r="E92" t="str">
        <f t="shared" si="3"/>
        <v>6175900</v>
      </c>
      <c r="G92" t="str">
        <f t="shared" si="4"/>
        <v>1.43</v>
      </c>
      <c r="H92" t="str">
        <f t="shared" si="5"/>
        <v>6462200</v>
      </c>
      <c r="J92" t="str">
        <f t="shared" si="6"/>
        <v>si</v>
      </c>
      <c r="K92" t="str">
        <f t="shared" si="7"/>
        <v>1.58</v>
      </c>
    </row>
    <row r="93" ht="15.75" customHeight="1">
      <c r="B93" t="str">
        <f t="shared" si="1"/>
        <v>4115200</v>
      </c>
      <c r="C93" s="4" t="str">
        <f t="shared" si="8"/>
        <v>1.63</v>
      </c>
      <c r="D93" t="str">
        <f t="shared" si="2"/>
        <v>1.28</v>
      </c>
      <c r="E93" t="str">
        <f t="shared" si="3"/>
        <v>6213952</v>
      </c>
      <c r="G93" t="str">
        <f t="shared" si="4"/>
        <v>1.43</v>
      </c>
      <c r="H93" t="str">
        <f t="shared" si="5"/>
        <v>6502016</v>
      </c>
      <c r="J93" t="str">
        <f t="shared" si="6"/>
        <v>si</v>
      </c>
      <c r="K93" t="str">
        <f t="shared" si="7"/>
        <v>1.58</v>
      </c>
    </row>
    <row r="94" ht="15.75" customHeight="1">
      <c r="B94" t="str">
        <f t="shared" si="1"/>
        <v>4140400</v>
      </c>
      <c r="C94" s="4" t="str">
        <f t="shared" si="8"/>
        <v>1.64</v>
      </c>
      <c r="D94" t="str">
        <f t="shared" si="2"/>
        <v>1.28</v>
      </c>
      <c r="E94" t="str">
        <f t="shared" si="3"/>
        <v>6252004</v>
      </c>
      <c r="G94" t="str">
        <f t="shared" si="4"/>
        <v>1.43</v>
      </c>
      <c r="H94" t="str">
        <f t="shared" si="5"/>
        <v>6541832</v>
      </c>
      <c r="J94" t="str">
        <f t="shared" si="6"/>
        <v>si</v>
      </c>
      <c r="K94" t="str">
        <f t="shared" si="7"/>
        <v>1.58</v>
      </c>
    </row>
    <row r="95" ht="15.75" customHeight="1">
      <c r="B95" t="str">
        <f t="shared" si="1"/>
        <v>4165600</v>
      </c>
      <c r="C95" s="4" t="str">
        <f t="shared" si="8"/>
        <v>1.65</v>
      </c>
      <c r="D95" t="str">
        <f t="shared" si="2"/>
        <v>1.28</v>
      </c>
      <c r="E95" t="str">
        <f t="shared" si="3"/>
        <v>6290056</v>
      </c>
      <c r="G95" t="str">
        <f t="shared" si="4"/>
        <v>1.43</v>
      </c>
      <c r="H95" t="str">
        <f t="shared" si="5"/>
        <v>6581648</v>
      </c>
      <c r="J95" t="str">
        <f t="shared" si="6"/>
        <v>si</v>
      </c>
      <c r="K95" t="str">
        <f t="shared" si="7"/>
        <v>1.58</v>
      </c>
    </row>
    <row r="96" ht="15.75" customHeight="1">
      <c r="B96" t="str">
        <f t="shared" si="1"/>
        <v>4190800</v>
      </c>
      <c r="C96" s="4" t="str">
        <f t="shared" si="8"/>
        <v>1.66</v>
      </c>
      <c r="D96" t="str">
        <f t="shared" si="2"/>
        <v>1.28</v>
      </c>
      <c r="E96" t="str">
        <f t="shared" si="3"/>
        <v>6328108</v>
      </c>
      <c r="G96" t="str">
        <f t="shared" si="4"/>
        <v>1.43</v>
      </c>
      <c r="H96" t="str">
        <f t="shared" si="5"/>
        <v>6621464</v>
      </c>
      <c r="J96" t="str">
        <f t="shared" si="6"/>
        <v>si</v>
      </c>
      <c r="K96" t="str">
        <f t="shared" si="7"/>
        <v>1.58</v>
      </c>
    </row>
    <row r="97" ht="15.75" customHeight="1">
      <c r="B97" t="str">
        <f t="shared" si="1"/>
        <v>4216000</v>
      </c>
      <c r="C97" s="4" t="str">
        <f t="shared" si="8"/>
        <v>1.67</v>
      </c>
      <c r="D97" t="str">
        <f t="shared" si="2"/>
        <v>1.28</v>
      </c>
      <c r="E97" t="str">
        <f t="shared" si="3"/>
        <v>6366160</v>
      </c>
      <c r="G97" t="str">
        <f t="shared" si="4"/>
        <v>1.43</v>
      </c>
      <c r="H97" t="str">
        <f t="shared" si="5"/>
        <v>6661280</v>
      </c>
      <c r="J97" t="str">
        <f t="shared" si="6"/>
        <v>si</v>
      </c>
      <c r="K97" t="str">
        <f t="shared" si="7"/>
        <v>1.58</v>
      </c>
    </row>
    <row r="98" ht="15.75" customHeight="1">
      <c r="B98" t="str">
        <f t="shared" si="1"/>
        <v>4241200</v>
      </c>
      <c r="C98" s="4" t="str">
        <f t="shared" si="8"/>
        <v>1.68</v>
      </c>
      <c r="D98" t="str">
        <f t="shared" si="2"/>
        <v>1.28</v>
      </c>
      <c r="E98" t="str">
        <f t="shared" si="3"/>
        <v>6404212</v>
      </c>
      <c r="G98" t="str">
        <f t="shared" si="4"/>
        <v>1.43</v>
      </c>
      <c r="H98" t="str">
        <f t="shared" si="5"/>
        <v>6701096</v>
      </c>
      <c r="J98" t="str">
        <f t="shared" si="6"/>
        <v>si</v>
      </c>
      <c r="K98" t="str">
        <f t="shared" si="7"/>
        <v>1.58</v>
      </c>
    </row>
    <row r="99" ht="15.75" customHeight="1">
      <c r="B99" t="str">
        <f t="shared" si="1"/>
        <v>4266400</v>
      </c>
      <c r="C99" s="4" t="str">
        <f t="shared" si="8"/>
        <v>1.69</v>
      </c>
      <c r="D99" t="str">
        <f t="shared" si="2"/>
        <v>1.28</v>
      </c>
      <c r="E99" t="str">
        <f t="shared" si="3"/>
        <v>6442264</v>
      </c>
      <c r="G99" t="str">
        <f t="shared" si="4"/>
        <v>1.43</v>
      </c>
      <c r="H99" t="str">
        <f t="shared" si="5"/>
        <v>6740912</v>
      </c>
      <c r="J99" t="str">
        <f t="shared" si="6"/>
        <v>si</v>
      </c>
      <c r="K99" t="str">
        <f t="shared" si="7"/>
        <v>1.58</v>
      </c>
    </row>
    <row r="100" ht="15.75" customHeight="1">
      <c r="B100" t="str">
        <f t="shared" si="1"/>
        <v>4291600</v>
      </c>
      <c r="C100" s="4" t="str">
        <f t="shared" si="8"/>
        <v>1.70</v>
      </c>
      <c r="D100" t="str">
        <f t="shared" si="2"/>
        <v>1.28</v>
      </c>
      <c r="E100" t="str">
        <f t="shared" si="3"/>
        <v>6480316</v>
      </c>
      <c r="G100" t="str">
        <f t="shared" si="4"/>
        <v>1.43</v>
      </c>
      <c r="H100" t="str">
        <f t="shared" si="5"/>
        <v>6780728</v>
      </c>
      <c r="J100" t="str">
        <f t="shared" si="6"/>
        <v>si</v>
      </c>
      <c r="K100" t="str">
        <f t="shared" si="7"/>
        <v>1.58</v>
      </c>
    </row>
    <row r="101" ht="15.75" customHeight="1">
      <c r="B101" t="str">
        <f t="shared" si="1"/>
        <v>4316800</v>
      </c>
      <c r="C101" s="4" t="str">
        <f t="shared" si="8"/>
        <v>1.71</v>
      </c>
      <c r="D101" t="str">
        <f t="shared" si="2"/>
        <v>1.28</v>
      </c>
      <c r="E101" t="str">
        <f t="shared" si="3"/>
        <v>6518368</v>
      </c>
      <c r="G101" t="str">
        <f t="shared" si="4"/>
        <v>1.43</v>
      </c>
      <c r="H101" t="str">
        <f t="shared" si="5"/>
        <v>6820544</v>
      </c>
      <c r="J101" t="str">
        <f t="shared" si="6"/>
        <v>si</v>
      </c>
      <c r="K101" t="str">
        <f t="shared" si="7"/>
        <v>1.58</v>
      </c>
    </row>
    <row r="102" ht="15.75" customHeight="1">
      <c r="B102" t="str">
        <f t="shared" si="1"/>
        <v>4342000</v>
      </c>
      <c r="C102" s="4" t="str">
        <f t="shared" si="8"/>
        <v>1.72</v>
      </c>
      <c r="D102" t="str">
        <f t="shared" si="2"/>
        <v>1.28</v>
      </c>
      <c r="E102" t="str">
        <f t="shared" si="3"/>
        <v>6556420</v>
      </c>
      <c r="G102" t="str">
        <f t="shared" si="4"/>
        <v>1.43</v>
      </c>
      <c r="H102" t="str">
        <f t="shared" si="5"/>
        <v>6860360</v>
      </c>
      <c r="J102" t="str">
        <f t="shared" si="6"/>
        <v>si</v>
      </c>
      <c r="K102" t="str">
        <f t="shared" si="7"/>
        <v>1.58</v>
      </c>
    </row>
    <row r="103" ht="15.75" customHeight="1">
      <c r="B103" t="str">
        <f t="shared" si="1"/>
        <v>4367200</v>
      </c>
      <c r="C103" s="4" t="str">
        <f t="shared" si="8"/>
        <v>1.73</v>
      </c>
      <c r="D103" t="str">
        <f t="shared" si="2"/>
        <v>1.28</v>
      </c>
      <c r="E103" t="str">
        <f t="shared" si="3"/>
        <v>6594472</v>
      </c>
      <c r="G103" t="str">
        <f t="shared" si="4"/>
        <v>1.43</v>
      </c>
      <c r="H103" t="str">
        <f t="shared" si="5"/>
        <v>6900176</v>
      </c>
      <c r="J103" t="str">
        <f t="shared" si="6"/>
        <v>si</v>
      </c>
      <c r="K103" t="str">
        <f t="shared" si="7"/>
        <v>1.58</v>
      </c>
    </row>
    <row r="104" ht="15.75" customHeight="1">
      <c r="B104" t="str">
        <f t="shared" si="1"/>
        <v>4392400</v>
      </c>
      <c r="C104" s="4" t="str">
        <f t="shared" si="8"/>
        <v>1.74</v>
      </c>
      <c r="D104" t="str">
        <f t="shared" si="2"/>
        <v>1.28</v>
      </c>
      <c r="E104" t="str">
        <f t="shared" si="3"/>
        <v>6632524</v>
      </c>
      <c r="G104" t="str">
        <f t="shared" si="4"/>
        <v>1.43</v>
      </c>
      <c r="H104" t="str">
        <f t="shared" si="5"/>
        <v>6939992</v>
      </c>
      <c r="J104" t="str">
        <f t="shared" si="6"/>
        <v>si</v>
      </c>
      <c r="K104" t="str">
        <f t="shared" si="7"/>
        <v>1.58</v>
      </c>
    </row>
    <row r="105" ht="15.75" customHeight="1">
      <c r="B105" t="str">
        <f t="shared" si="1"/>
        <v>4417600</v>
      </c>
      <c r="C105" s="4" t="str">
        <f t="shared" si="8"/>
        <v>1.75</v>
      </c>
      <c r="D105" t="str">
        <f t="shared" si="2"/>
        <v>1.28</v>
      </c>
      <c r="E105" t="str">
        <f t="shared" si="3"/>
        <v>6670576</v>
      </c>
      <c r="G105" t="str">
        <f t="shared" si="4"/>
        <v>1.43</v>
      </c>
      <c r="H105" t="str">
        <f t="shared" si="5"/>
        <v>6979808</v>
      </c>
      <c r="J105" t="str">
        <f t="shared" si="6"/>
        <v>si</v>
      </c>
      <c r="K105" t="str">
        <f t="shared" si="7"/>
        <v>1.58</v>
      </c>
    </row>
    <row r="106" ht="15.75" customHeight="1">
      <c r="B106" t="str">
        <f t="shared" si="1"/>
        <v>4442800</v>
      </c>
      <c r="C106" s="4" t="str">
        <f t="shared" si="8"/>
        <v>1.76</v>
      </c>
      <c r="D106" t="str">
        <f t="shared" si="2"/>
        <v>1.28</v>
      </c>
      <c r="E106" t="str">
        <f t="shared" si="3"/>
        <v>6708628</v>
      </c>
      <c r="G106" t="str">
        <f t="shared" si="4"/>
        <v>1.43</v>
      </c>
      <c r="H106" t="str">
        <f t="shared" si="5"/>
        <v>7019624</v>
      </c>
      <c r="J106" t="str">
        <f t="shared" si="6"/>
        <v>si</v>
      </c>
      <c r="K106" t="str">
        <f t="shared" si="7"/>
        <v>1.58</v>
      </c>
    </row>
    <row r="107" ht="15.75" customHeight="1">
      <c r="B107" t="str">
        <f t="shared" si="1"/>
        <v>4468000</v>
      </c>
      <c r="C107" s="4" t="str">
        <f t="shared" si="8"/>
        <v>1.77</v>
      </c>
      <c r="D107" t="str">
        <f t="shared" si="2"/>
        <v>1.28</v>
      </c>
      <c r="E107" t="str">
        <f t="shared" si="3"/>
        <v>6746680</v>
      </c>
      <c r="G107" t="str">
        <f t="shared" si="4"/>
        <v>1.43</v>
      </c>
      <c r="H107" t="str">
        <f t="shared" si="5"/>
        <v>7059440</v>
      </c>
      <c r="J107" t="str">
        <f t="shared" si="6"/>
        <v>si</v>
      </c>
      <c r="K107" t="str">
        <f t="shared" si="7"/>
        <v>1.58</v>
      </c>
    </row>
    <row r="108" ht="15.75" customHeight="1">
      <c r="B108" t="str">
        <f t="shared" si="1"/>
        <v>4493200</v>
      </c>
      <c r="C108" s="4" t="str">
        <f t="shared" si="8"/>
        <v>1.78</v>
      </c>
      <c r="D108" t="str">
        <f t="shared" si="2"/>
        <v>1.28</v>
      </c>
      <c r="E108" t="str">
        <f t="shared" si="3"/>
        <v>6784732</v>
      </c>
      <c r="G108" t="str">
        <f t="shared" si="4"/>
        <v>1.43</v>
      </c>
      <c r="H108" t="str">
        <f t="shared" si="5"/>
        <v>7099256</v>
      </c>
      <c r="J108" t="str">
        <f t="shared" si="6"/>
        <v>si</v>
      </c>
      <c r="K108" t="str">
        <f t="shared" si="7"/>
        <v>1.58</v>
      </c>
    </row>
    <row r="109" ht="15.75" customHeight="1">
      <c r="B109" t="str">
        <f t="shared" si="1"/>
        <v>4518400</v>
      </c>
      <c r="C109" s="4" t="str">
        <f t="shared" si="8"/>
        <v>1.79</v>
      </c>
      <c r="D109" t="str">
        <f t="shared" si="2"/>
        <v>1.28</v>
      </c>
      <c r="E109" t="str">
        <f t="shared" si="3"/>
        <v>6822784</v>
      </c>
      <c r="G109" t="str">
        <f t="shared" si="4"/>
        <v>1.43</v>
      </c>
      <c r="H109" t="str">
        <f t="shared" si="5"/>
        <v>7139072</v>
      </c>
      <c r="J109" t="str">
        <f t="shared" si="6"/>
        <v>si</v>
      </c>
      <c r="K109" t="str">
        <f t="shared" si="7"/>
        <v>1.58</v>
      </c>
    </row>
    <row r="110" ht="15.75" customHeight="1">
      <c r="B110" t="str">
        <f t="shared" si="1"/>
        <v>4543600</v>
      </c>
      <c r="C110" s="4" t="str">
        <f t="shared" si="8"/>
        <v>1.80</v>
      </c>
      <c r="D110" t="str">
        <f t="shared" si="2"/>
        <v>1.28</v>
      </c>
      <c r="E110" t="str">
        <f t="shared" si="3"/>
        <v>6860836</v>
      </c>
      <c r="G110" t="str">
        <f t="shared" si="4"/>
        <v>1.43</v>
      </c>
      <c r="H110" t="str">
        <f t="shared" si="5"/>
        <v>7178888</v>
      </c>
      <c r="J110" t="str">
        <f t="shared" si="6"/>
        <v>si</v>
      </c>
      <c r="K110" t="str">
        <f t="shared" si="7"/>
        <v>1.58</v>
      </c>
    </row>
    <row r="111" ht="15.75" customHeight="1">
      <c r="B111" t="str">
        <f t="shared" si="1"/>
        <v>4568800</v>
      </c>
      <c r="C111" s="4" t="str">
        <f t="shared" si="8"/>
        <v>1.81</v>
      </c>
      <c r="D111" t="str">
        <f t="shared" si="2"/>
        <v>1.28</v>
      </c>
      <c r="E111" t="str">
        <f t="shared" si="3"/>
        <v>6898888</v>
      </c>
      <c r="G111" t="str">
        <f t="shared" si="4"/>
        <v>1.43</v>
      </c>
      <c r="H111" t="str">
        <f t="shared" si="5"/>
        <v>7218704</v>
      </c>
      <c r="J111" t="str">
        <f t="shared" si="6"/>
        <v>si</v>
      </c>
      <c r="K111" t="str">
        <f t="shared" si="7"/>
        <v>1.58</v>
      </c>
    </row>
    <row r="112" ht="15.75" customHeight="1">
      <c r="B112" t="str">
        <f t="shared" si="1"/>
        <v>4594000</v>
      </c>
      <c r="C112" s="4" t="str">
        <f t="shared" si="8"/>
        <v>1.82</v>
      </c>
      <c r="D112" t="str">
        <f t="shared" si="2"/>
        <v>1.28</v>
      </c>
      <c r="E112" t="str">
        <f t="shared" si="3"/>
        <v>6936940</v>
      </c>
      <c r="G112" t="str">
        <f t="shared" si="4"/>
        <v>1.43</v>
      </c>
      <c r="H112" t="str">
        <f t="shared" si="5"/>
        <v>7258520</v>
      </c>
      <c r="J112" t="str">
        <f t="shared" si="6"/>
        <v>si</v>
      </c>
      <c r="K112" t="str">
        <f t="shared" si="7"/>
        <v>1.58</v>
      </c>
    </row>
    <row r="113" ht="15.75" customHeight="1">
      <c r="B113" t="str">
        <f t="shared" si="1"/>
        <v>4619200</v>
      </c>
      <c r="C113" s="4" t="str">
        <f t="shared" si="8"/>
        <v>1.83</v>
      </c>
      <c r="D113" t="str">
        <f t="shared" si="2"/>
        <v>1.28</v>
      </c>
      <c r="E113" t="str">
        <f t="shared" si="3"/>
        <v>6974992</v>
      </c>
      <c r="G113" t="str">
        <f t="shared" si="4"/>
        <v>1.43</v>
      </c>
      <c r="H113" t="str">
        <f t="shared" si="5"/>
        <v>7298336</v>
      </c>
      <c r="J113" t="str">
        <f t="shared" si="6"/>
        <v>si</v>
      </c>
      <c r="K113" t="str">
        <f t="shared" si="7"/>
        <v>1.58</v>
      </c>
    </row>
    <row r="114" ht="15.75" customHeight="1">
      <c r="B114" t="str">
        <f t="shared" si="1"/>
        <v>4644400</v>
      </c>
      <c r="C114" s="4" t="str">
        <f t="shared" si="8"/>
        <v>1.84</v>
      </c>
      <c r="D114" t="str">
        <f t="shared" si="2"/>
        <v>1.28</v>
      </c>
      <c r="E114" t="str">
        <f t="shared" si="3"/>
        <v>7013044</v>
      </c>
      <c r="G114" t="str">
        <f t="shared" si="4"/>
        <v>1.43</v>
      </c>
      <c r="H114" t="str">
        <f t="shared" si="5"/>
        <v>7338152</v>
      </c>
      <c r="J114" t="str">
        <f t="shared" si="6"/>
        <v>si</v>
      </c>
      <c r="K114" t="str">
        <f t="shared" si="7"/>
        <v>1.58</v>
      </c>
    </row>
    <row r="115" ht="15.75" customHeight="1">
      <c r="B115" t="str">
        <f t="shared" si="1"/>
        <v>4669600</v>
      </c>
      <c r="C115" s="4" t="str">
        <f t="shared" si="8"/>
        <v>1.85</v>
      </c>
      <c r="D115" t="str">
        <f t="shared" si="2"/>
        <v>1.28</v>
      </c>
      <c r="E115" t="str">
        <f t="shared" si="3"/>
        <v>7051096</v>
      </c>
      <c r="G115" t="str">
        <f t="shared" si="4"/>
        <v>1.43</v>
      </c>
      <c r="H115" t="str">
        <f t="shared" si="5"/>
        <v>7377968</v>
      </c>
      <c r="J115" t="str">
        <f t="shared" si="6"/>
        <v>si</v>
      </c>
      <c r="K115" t="str">
        <f t="shared" si="7"/>
        <v>1.58</v>
      </c>
    </row>
    <row r="116" ht="15.75" customHeight="1">
      <c r="B116" t="str">
        <f t="shared" si="1"/>
        <v>4694800</v>
      </c>
      <c r="C116" s="4" t="str">
        <f t="shared" si="8"/>
        <v>1.86</v>
      </c>
      <c r="D116" t="str">
        <f t="shared" si="2"/>
        <v>1.28</v>
      </c>
      <c r="E116" t="str">
        <f t="shared" si="3"/>
        <v>7089148</v>
      </c>
      <c r="G116" t="str">
        <f t="shared" si="4"/>
        <v>1.43</v>
      </c>
      <c r="H116" t="str">
        <f t="shared" si="5"/>
        <v>7417784</v>
      </c>
      <c r="J116" t="str">
        <f t="shared" si="6"/>
        <v>si</v>
      </c>
      <c r="K116" t="str">
        <f t="shared" si="7"/>
        <v>1.58</v>
      </c>
    </row>
    <row r="117" ht="15.75" customHeight="1">
      <c r="B117" t="str">
        <f t="shared" si="1"/>
        <v>4720000</v>
      </c>
      <c r="C117" s="4" t="str">
        <f t="shared" si="8"/>
        <v>1.87</v>
      </c>
      <c r="D117" t="str">
        <f t="shared" si="2"/>
        <v>1.28</v>
      </c>
      <c r="E117" t="str">
        <f t="shared" si="3"/>
        <v>7127200</v>
      </c>
      <c r="G117" t="str">
        <f t="shared" si="4"/>
        <v>1.43</v>
      </c>
      <c r="H117" t="str">
        <f t="shared" si="5"/>
        <v>7457600</v>
      </c>
      <c r="J117" t="str">
        <f t="shared" si="6"/>
        <v>si</v>
      </c>
      <c r="K117" t="str">
        <f t="shared" si="7"/>
        <v>1.58</v>
      </c>
    </row>
    <row r="118" ht="15.75" customHeight="1">
      <c r="B118" t="str">
        <f t="shared" si="1"/>
        <v>4745200</v>
      </c>
      <c r="C118" s="4" t="str">
        <f t="shared" si="8"/>
        <v>1.88</v>
      </c>
      <c r="D118" t="str">
        <f t="shared" si="2"/>
        <v>1.28</v>
      </c>
      <c r="E118" t="str">
        <f t="shared" si="3"/>
        <v>7165252</v>
      </c>
      <c r="G118" t="str">
        <f t="shared" si="4"/>
        <v>1.43</v>
      </c>
      <c r="H118" t="str">
        <f t="shared" si="5"/>
        <v>7497416</v>
      </c>
      <c r="J118" t="str">
        <f t="shared" si="6"/>
        <v>si</v>
      </c>
      <c r="K118" t="str">
        <f t="shared" si="7"/>
        <v>1.58</v>
      </c>
    </row>
    <row r="119" ht="15.75" customHeight="1">
      <c r="B119" t="str">
        <f t="shared" si="1"/>
        <v>4770400</v>
      </c>
      <c r="C119" s="4" t="str">
        <f t="shared" si="8"/>
        <v>1.89</v>
      </c>
      <c r="D119" t="str">
        <f t="shared" si="2"/>
        <v>1.44</v>
      </c>
      <c r="E119" t="str">
        <f t="shared" si="3"/>
        <v>7966568</v>
      </c>
      <c r="G119" t="str">
        <f t="shared" si="4"/>
        <v>1.59</v>
      </c>
      <c r="H119" t="str">
        <f t="shared" si="5"/>
        <v>8300496</v>
      </c>
      <c r="J119" t="str">
        <f t="shared" si="6"/>
        <v>si</v>
      </c>
      <c r="K119" t="str">
        <f t="shared" si="7"/>
        <v>1.74</v>
      </c>
    </row>
    <row r="120" ht="15.75" customHeight="1">
      <c r="B120" t="str">
        <f t="shared" si="1"/>
        <v>4795600</v>
      </c>
      <c r="C120" s="4" t="str">
        <f t="shared" si="8"/>
        <v>1.90</v>
      </c>
      <c r="D120" t="str">
        <f t="shared" si="2"/>
        <v>1.44</v>
      </c>
      <c r="E120" t="str">
        <f t="shared" si="3"/>
        <v>8008652</v>
      </c>
      <c r="G120" t="str">
        <f t="shared" si="4"/>
        <v>1.59</v>
      </c>
      <c r="H120" t="str">
        <f t="shared" si="5"/>
        <v>8344344</v>
      </c>
      <c r="J120" t="str">
        <f t="shared" si="6"/>
        <v>si</v>
      </c>
      <c r="K120" t="str">
        <f t="shared" si="7"/>
        <v>1.74</v>
      </c>
    </row>
    <row r="121" ht="15.75" customHeight="1">
      <c r="B121" t="str">
        <f t="shared" si="1"/>
        <v>4820800</v>
      </c>
      <c r="C121" s="4" t="str">
        <f t="shared" si="8"/>
        <v>1.91</v>
      </c>
      <c r="D121" t="str">
        <f t="shared" si="2"/>
        <v>1.44</v>
      </c>
      <c r="E121" t="str">
        <f t="shared" si="3"/>
        <v>8050736</v>
      </c>
      <c r="G121" t="str">
        <f t="shared" si="4"/>
        <v>1.59</v>
      </c>
      <c r="H121" t="str">
        <f t="shared" si="5"/>
        <v>8388192</v>
      </c>
      <c r="J121" t="str">
        <f t="shared" si="6"/>
        <v>si</v>
      </c>
      <c r="K121" t="str">
        <f t="shared" si="7"/>
        <v>1.74</v>
      </c>
    </row>
    <row r="122" ht="15.75" customHeight="1">
      <c r="B122" t="str">
        <f t="shared" si="1"/>
        <v>4846000</v>
      </c>
      <c r="C122" s="4" t="str">
        <f t="shared" si="8"/>
        <v>1.92</v>
      </c>
      <c r="D122" t="str">
        <f t="shared" si="2"/>
        <v>1.44</v>
      </c>
      <c r="E122" t="str">
        <f t="shared" si="3"/>
        <v>8092820</v>
      </c>
      <c r="G122" t="str">
        <f t="shared" si="4"/>
        <v>1.59</v>
      </c>
      <c r="H122" t="str">
        <f t="shared" si="5"/>
        <v>8432040</v>
      </c>
      <c r="J122" t="str">
        <f t="shared" si="6"/>
        <v>si</v>
      </c>
      <c r="K122" t="str">
        <f t="shared" si="7"/>
        <v>1.74</v>
      </c>
    </row>
    <row r="123" ht="15.75" customHeight="1">
      <c r="B123" t="str">
        <f t="shared" si="1"/>
        <v>4871200</v>
      </c>
      <c r="C123" s="4" t="str">
        <f t="shared" si="8"/>
        <v>1.93</v>
      </c>
      <c r="D123" t="str">
        <f t="shared" si="2"/>
        <v>1.44</v>
      </c>
      <c r="E123" t="str">
        <f t="shared" si="3"/>
        <v>8134904</v>
      </c>
      <c r="G123" t="str">
        <f t="shared" si="4"/>
        <v>1.59</v>
      </c>
      <c r="H123" t="str">
        <f t="shared" si="5"/>
        <v>8475888</v>
      </c>
      <c r="J123" t="str">
        <f t="shared" si="6"/>
        <v>si</v>
      </c>
      <c r="K123" t="str">
        <f t="shared" si="7"/>
        <v>1.74</v>
      </c>
    </row>
    <row r="124" ht="15.75" customHeight="1">
      <c r="B124" t="str">
        <f t="shared" si="1"/>
        <v>4896400</v>
      </c>
      <c r="C124" s="4" t="str">
        <f t="shared" si="8"/>
        <v>1.94</v>
      </c>
      <c r="D124" t="str">
        <f t="shared" si="2"/>
        <v>1.44</v>
      </c>
      <c r="E124" t="str">
        <f t="shared" si="3"/>
        <v>8176988</v>
      </c>
      <c r="G124" t="str">
        <f t="shared" si="4"/>
        <v>1.59</v>
      </c>
      <c r="H124" t="str">
        <f t="shared" si="5"/>
        <v>8519736</v>
      </c>
      <c r="J124" t="str">
        <f t="shared" si="6"/>
        <v>si</v>
      </c>
      <c r="K124" t="str">
        <f t="shared" si="7"/>
        <v>1.74</v>
      </c>
    </row>
    <row r="125" ht="15.75" customHeight="1">
      <c r="B125" t="str">
        <f t="shared" si="1"/>
        <v>4921600</v>
      </c>
      <c r="C125" s="4" t="str">
        <f t="shared" si="8"/>
        <v>1.95</v>
      </c>
      <c r="D125" t="str">
        <f t="shared" si="2"/>
        <v>1.44</v>
      </c>
      <c r="E125" t="str">
        <f t="shared" si="3"/>
        <v>8219072</v>
      </c>
      <c r="G125" t="str">
        <f t="shared" si="4"/>
        <v>1.59</v>
      </c>
      <c r="H125" t="str">
        <f t="shared" si="5"/>
        <v>8563584</v>
      </c>
      <c r="J125" t="str">
        <f t="shared" si="6"/>
        <v>si</v>
      </c>
      <c r="K125" t="str">
        <f t="shared" si="7"/>
        <v>1.74</v>
      </c>
    </row>
    <row r="126" ht="15.75" customHeight="1">
      <c r="B126" t="str">
        <f t="shared" si="1"/>
        <v>4946800</v>
      </c>
      <c r="C126" s="4" t="str">
        <f t="shared" si="8"/>
        <v>1.96</v>
      </c>
      <c r="D126" t="str">
        <f t="shared" si="2"/>
        <v>1.44</v>
      </c>
      <c r="E126" t="str">
        <f t="shared" si="3"/>
        <v>8261156</v>
      </c>
      <c r="G126" t="str">
        <f t="shared" si="4"/>
        <v>1.59</v>
      </c>
      <c r="H126" t="str">
        <f t="shared" si="5"/>
        <v>8607432</v>
      </c>
      <c r="J126" t="str">
        <f t="shared" si="6"/>
        <v>si</v>
      </c>
      <c r="K126" t="str">
        <f t="shared" si="7"/>
        <v>1.74</v>
      </c>
    </row>
    <row r="127" ht="15.75" customHeight="1">
      <c r="B127" t="str">
        <f t="shared" si="1"/>
        <v>4972000</v>
      </c>
      <c r="C127" s="4" t="str">
        <f t="shared" si="8"/>
        <v>1.97</v>
      </c>
      <c r="D127" t="str">
        <f t="shared" si="2"/>
        <v>1.44</v>
      </c>
      <c r="E127" t="str">
        <f t="shared" si="3"/>
        <v>8303240</v>
      </c>
      <c r="G127" t="str">
        <f t="shared" si="4"/>
        <v>1.59</v>
      </c>
      <c r="H127" t="str">
        <f t="shared" si="5"/>
        <v>8651280</v>
      </c>
      <c r="J127" t="str">
        <f t="shared" si="6"/>
        <v>si</v>
      </c>
      <c r="K127" t="str">
        <f t="shared" si="7"/>
        <v>1.74</v>
      </c>
    </row>
    <row r="128" ht="15.75" customHeight="1">
      <c r="B128" t="str">
        <f t="shared" si="1"/>
        <v>4997200</v>
      </c>
      <c r="C128" s="4" t="str">
        <f t="shared" si="8"/>
        <v>1.98</v>
      </c>
      <c r="D128" t="str">
        <f t="shared" si="2"/>
        <v>1.44</v>
      </c>
      <c r="E128" t="str">
        <f t="shared" si="3"/>
        <v>8345324</v>
      </c>
      <c r="G128" t="str">
        <f t="shared" si="4"/>
        <v>1.59</v>
      </c>
      <c r="H128" t="str">
        <f t="shared" si="5"/>
        <v>8695128</v>
      </c>
      <c r="J128" t="str">
        <f t="shared" si="6"/>
        <v>si</v>
      </c>
      <c r="K128" t="str">
        <f t="shared" si="7"/>
        <v>1.74</v>
      </c>
    </row>
    <row r="129" ht="15.75" customHeight="1">
      <c r="B129" t="str">
        <f t="shared" si="1"/>
        <v>5022400</v>
      </c>
      <c r="C129" s="4" t="str">
        <f t="shared" si="8"/>
        <v>1.99</v>
      </c>
      <c r="D129" t="str">
        <f t="shared" si="2"/>
        <v>1.44</v>
      </c>
      <c r="E129" t="str">
        <f t="shared" si="3"/>
        <v>8387408</v>
      </c>
      <c r="G129" t="str">
        <f t="shared" si="4"/>
        <v>1.59</v>
      </c>
      <c r="H129" t="str">
        <f t="shared" si="5"/>
        <v>8738976</v>
      </c>
      <c r="J129" t="str">
        <f t="shared" si="6"/>
        <v>si</v>
      </c>
      <c r="K129" t="str">
        <f t="shared" si="7"/>
        <v>1.74</v>
      </c>
    </row>
    <row r="130" ht="15.75" customHeight="1">
      <c r="B130" t="str">
        <f t="shared" si="1"/>
        <v>5047600</v>
      </c>
      <c r="C130" s="4" t="str">
        <f t="shared" si="8"/>
        <v>2.00</v>
      </c>
      <c r="D130" t="str">
        <f t="shared" si="2"/>
        <v>1.44</v>
      </c>
      <c r="E130" t="str">
        <f t="shared" si="3"/>
        <v>8429492</v>
      </c>
      <c r="G130" t="str">
        <f t="shared" si="4"/>
        <v>1.59</v>
      </c>
      <c r="H130" t="str">
        <f t="shared" si="5"/>
        <v>8782824</v>
      </c>
      <c r="J130" t="str">
        <f t="shared" si="6"/>
        <v>si</v>
      </c>
      <c r="K130" t="str">
        <f t="shared" si="7"/>
        <v>1.74</v>
      </c>
    </row>
    <row r="131" ht="15.75" customHeight="1">
      <c r="B131" t="str">
        <f t="shared" si="1"/>
        <v>5072800</v>
      </c>
      <c r="C131" s="4" t="str">
        <f t="shared" si="8"/>
        <v>2.01</v>
      </c>
      <c r="D131" t="str">
        <f t="shared" si="2"/>
        <v>1.44</v>
      </c>
      <c r="E131" t="str">
        <f t="shared" si="3"/>
        <v>8471576</v>
      </c>
      <c r="G131" t="str">
        <f t="shared" si="4"/>
        <v>1.59</v>
      </c>
      <c r="H131" t="str">
        <f t="shared" si="5"/>
        <v>8826672</v>
      </c>
      <c r="J131" t="str">
        <f t="shared" si="6"/>
        <v>si</v>
      </c>
      <c r="K131" t="str">
        <f t="shared" si="7"/>
        <v>1.74</v>
      </c>
    </row>
    <row r="132" ht="15.75" customHeight="1">
      <c r="B132" t="str">
        <f t="shared" si="1"/>
        <v>5098000</v>
      </c>
      <c r="C132" s="4" t="str">
        <f t="shared" si="8"/>
        <v>2.02</v>
      </c>
      <c r="D132" t="str">
        <f t="shared" si="2"/>
        <v>1.44</v>
      </c>
      <c r="E132" t="str">
        <f t="shared" si="3"/>
        <v>8513660</v>
      </c>
      <c r="G132" t="str">
        <f t="shared" si="4"/>
        <v>1.59</v>
      </c>
      <c r="H132" t="str">
        <f t="shared" si="5"/>
        <v>8870520</v>
      </c>
      <c r="J132" t="str">
        <f t="shared" si="6"/>
        <v>si</v>
      </c>
      <c r="K132" t="str">
        <f t="shared" si="7"/>
        <v>1.74</v>
      </c>
    </row>
    <row r="133" ht="15.75" customHeight="1">
      <c r="B133" t="str">
        <f t="shared" si="1"/>
        <v>5123200</v>
      </c>
      <c r="C133" s="4" t="str">
        <f t="shared" si="8"/>
        <v>2.03</v>
      </c>
      <c r="D133" t="str">
        <f t="shared" si="2"/>
        <v>1.44</v>
      </c>
      <c r="E133" t="str">
        <f t="shared" si="3"/>
        <v>8555744</v>
      </c>
      <c r="G133" t="str">
        <f t="shared" si="4"/>
        <v>1.59</v>
      </c>
      <c r="H133" t="str">
        <f t="shared" si="5"/>
        <v>8914368</v>
      </c>
      <c r="J133" t="str">
        <f t="shared" si="6"/>
        <v>si</v>
      </c>
      <c r="K133" t="str">
        <f t="shared" si="7"/>
        <v>1.74</v>
      </c>
    </row>
    <row r="134" ht="15.75" customHeight="1">
      <c r="B134" t="str">
        <f t="shared" si="1"/>
        <v>5148400</v>
      </c>
      <c r="C134" s="4" t="str">
        <f t="shared" si="8"/>
        <v>2.04</v>
      </c>
      <c r="D134" t="str">
        <f t="shared" si="2"/>
        <v>1.44</v>
      </c>
      <c r="E134" t="str">
        <f t="shared" si="3"/>
        <v>8597828</v>
      </c>
      <c r="G134" t="str">
        <f t="shared" si="4"/>
        <v>1.59</v>
      </c>
      <c r="H134" t="str">
        <f t="shared" si="5"/>
        <v>8958216</v>
      </c>
      <c r="J134" t="str">
        <f t="shared" si="6"/>
        <v>si</v>
      </c>
      <c r="K134" t="str">
        <f t="shared" si="7"/>
        <v>1.74</v>
      </c>
    </row>
    <row r="135" ht="15.75" customHeight="1">
      <c r="B135" t="str">
        <f t="shared" si="1"/>
        <v>5173600</v>
      </c>
      <c r="C135" s="4" t="str">
        <f t="shared" si="8"/>
        <v>2.05</v>
      </c>
      <c r="D135" t="str">
        <f t="shared" si="2"/>
        <v>1.44</v>
      </c>
      <c r="E135" t="str">
        <f t="shared" si="3"/>
        <v>8639912</v>
      </c>
      <c r="G135" t="str">
        <f t="shared" si="4"/>
        <v>1.59</v>
      </c>
      <c r="H135" t="str">
        <f t="shared" si="5"/>
        <v>9002064</v>
      </c>
      <c r="J135" t="str">
        <f t="shared" si="6"/>
        <v>si</v>
      </c>
      <c r="K135" t="str">
        <f t="shared" si="7"/>
        <v>1.74</v>
      </c>
    </row>
    <row r="136" ht="15.75" customHeight="1">
      <c r="B136" t="str">
        <f t="shared" si="1"/>
        <v>5198800</v>
      </c>
      <c r="C136" s="4" t="str">
        <f t="shared" si="8"/>
        <v>2.06</v>
      </c>
      <c r="D136" t="str">
        <f t="shared" si="2"/>
        <v>1.44</v>
      </c>
      <c r="E136" t="str">
        <f t="shared" si="3"/>
        <v>8681996</v>
      </c>
      <c r="G136" t="str">
        <f t="shared" si="4"/>
        <v>1.59</v>
      </c>
      <c r="H136" t="str">
        <f t="shared" si="5"/>
        <v>9045912</v>
      </c>
      <c r="J136" t="str">
        <f t="shared" si="6"/>
        <v>si</v>
      </c>
      <c r="K136" t="str">
        <f t="shared" si="7"/>
        <v>1.74</v>
      </c>
    </row>
    <row r="137" ht="15.75" customHeight="1">
      <c r="B137" t="str">
        <f t="shared" si="1"/>
        <v>5224000</v>
      </c>
      <c r="C137" s="4" t="str">
        <f t="shared" si="8"/>
        <v>2.07</v>
      </c>
      <c r="D137" t="str">
        <f t="shared" si="2"/>
        <v>1.44</v>
      </c>
      <c r="E137" t="str">
        <f t="shared" si="3"/>
        <v>8724080</v>
      </c>
      <c r="G137" t="str">
        <f t="shared" si="4"/>
        <v>1.59</v>
      </c>
      <c r="H137" t="str">
        <f t="shared" si="5"/>
        <v>9089760</v>
      </c>
      <c r="J137" t="str">
        <f t="shared" si="6"/>
        <v>si</v>
      </c>
      <c r="K137" t="str">
        <f t="shared" si="7"/>
        <v>1.74</v>
      </c>
    </row>
    <row r="138" ht="15.75" customHeight="1">
      <c r="B138" t="str">
        <f t="shared" si="1"/>
        <v>5249200</v>
      </c>
      <c r="C138" s="4" t="str">
        <f t="shared" si="8"/>
        <v>2.08</v>
      </c>
      <c r="D138" t="str">
        <f t="shared" si="2"/>
        <v>1.44</v>
      </c>
      <c r="E138" t="str">
        <f t="shared" si="3"/>
        <v>8766164</v>
      </c>
      <c r="G138" t="str">
        <f t="shared" si="4"/>
        <v>1.59</v>
      </c>
      <c r="H138" t="str">
        <f t="shared" si="5"/>
        <v>9133608</v>
      </c>
      <c r="J138" t="str">
        <f t="shared" si="6"/>
        <v>si</v>
      </c>
      <c r="K138" t="str">
        <f t="shared" si="7"/>
        <v>1.74</v>
      </c>
    </row>
    <row r="139" ht="15.75" customHeight="1">
      <c r="B139" t="str">
        <f t="shared" si="1"/>
        <v>5274400</v>
      </c>
      <c r="C139" s="4" t="str">
        <f t="shared" si="8"/>
        <v>2.09</v>
      </c>
      <c r="D139" t="str">
        <f t="shared" si="2"/>
        <v>1.44</v>
      </c>
      <c r="E139" t="str">
        <f t="shared" si="3"/>
        <v>8808248</v>
      </c>
      <c r="G139" t="str">
        <f t="shared" si="4"/>
        <v>1.59</v>
      </c>
      <c r="H139" t="str">
        <f t="shared" si="5"/>
        <v>9177456</v>
      </c>
      <c r="J139" t="str">
        <f t="shared" si="6"/>
        <v>si</v>
      </c>
      <c r="K139" t="str">
        <f t="shared" si="7"/>
        <v>1.74</v>
      </c>
    </row>
    <row r="140" ht="15.75" customHeight="1">
      <c r="B140" t="str">
        <f t="shared" si="1"/>
        <v>5299600</v>
      </c>
      <c r="C140" s="4" t="str">
        <f t="shared" si="8"/>
        <v>2.10</v>
      </c>
      <c r="D140" t="str">
        <f t="shared" si="2"/>
        <v>1.44</v>
      </c>
      <c r="E140" t="str">
        <f t="shared" si="3"/>
        <v>8850332</v>
      </c>
      <c r="G140" t="str">
        <f t="shared" si="4"/>
        <v>1.59</v>
      </c>
      <c r="H140" t="str">
        <f t="shared" si="5"/>
        <v>9221304</v>
      </c>
      <c r="J140" t="str">
        <f t="shared" si="6"/>
        <v>si</v>
      </c>
      <c r="K140" t="str">
        <f t="shared" si="7"/>
        <v>1.74</v>
      </c>
    </row>
    <row r="141" ht="15.75" customHeight="1">
      <c r="B141" t="str">
        <f t="shared" si="1"/>
        <v>5324800</v>
      </c>
      <c r="C141" s="4" t="str">
        <f t="shared" si="8"/>
        <v>2.11</v>
      </c>
      <c r="D141" t="str">
        <f t="shared" si="2"/>
        <v>1.44</v>
      </c>
      <c r="E141" t="str">
        <f t="shared" si="3"/>
        <v>8892416</v>
      </c>
      <c r="G141" t="str">
        <f t="shared" si="4"/>
        <v>1.59</v>
      </c>
      <c r="H141" t="str">
        <f t="shared" si="5"/>
        <v>9265152</v>
      </c>
      <c r="J141" t="str">
        <f t="shared" si="6"/>
        <v>si</v>
      </c>
      <c r="K141" t="str">
        <f t="shared" si="7"/>
        <v>1.74</v>
      </c>
    </row>
    <row r="142" ht="15.75" customHeight="1">
      <c r="B142" t="str">
        <f t="shared" si="1"/>
        <v>5350000</v>
      </c>
      <c r="C142" s="4" t="str">
        <f t="shared" si="8"/>
        <v>2.12</v>
      </c>
      <c r="D142" t="str">
        <f t="shared" si="2"/>
        <v>1.44</v>
      </c>
      <c r="E142" t="str">
        <f t="shared" si="3"/>
        <v>8934500</v>
      </c>
      <c r="G142" t="str">
        <f t="shared" si="4"/>
        <v>1.59</v>
      </c>
      <c r="H142" t="str">
        <f t="shared" si="5"/>
        <v>9309000</v>
      </c>
      <c r="J142" t="str">
        <f t="shared" si="6"/>
        <v>si</v>
      </c>
      <c r="K142" t="str">
        <f t="shared" si="7"/>
        <v>1.74</v>
      </c>
    </row>
    <row r="143" ht="15.75" customHeight="1">
      <c r="B143" t="str">
        <f t="shared" si="1"/>
        <v>5375200</v>
      </c>
      <c r="C143" s="4" t="str">
        <f t="shared" si="8"/>
        <v>2.13</v>
      </c>
      <c r="D143" t="str">
        <f t="shared" si="2"/>
        <v>1.44</v>
      </c>
      <c r="E143" t="str">
        <f t="shared" si="3"/>
        <v>8976584</v>
      </c>
      <c r="G143" t="str">
        <f t="shared" si="4"/>
        <v>1.59</v>
      </c>
      <c r="H143" t="str">
        <f t="shared" si="5"/>
        <v>9352848</v>
      </c>
      <c r="J143" t="str">
        <f t="shared" si="6"/>
        <v>si</v>
      </c>
      <c r="K143" t="str">
        <f t="shared" si="7"/>
        <v>1.74</v>
      </c>
    </row>
    <row r="144" ht="15.75" customHeight="1">
      <c r="B144" t="str">
        <f t="shared" si="1"/>
        <v>5400400</v>
      </c>
      <c r="C144" s="4" t="str">
        <f t="shared" si="8"/>
        <v>2.14</v>
      </c>
      <c r="D144" t="str">
        <f t="shared" si="2"/>
        <v>1.44</v>
      </c>
      <c r="E144" t="str">
        <f t="shared" si="3"/>
        <v>9018668</v>
      </c>
      <c r="G144" t="str">
        <f t="shared" si="4"/>
        <v>1.59</v>
      </c>
      <c r="H144" t="str">
        <f t="shared" si="5"/>
        <v>9396696</v>
      </c>
      <c r="J144" t="str">
        <f t="shared" si="6"/>
        <v>si</v>
      </c>
      <c r="K144" t="str">
        <f t="shared" si="7"/>
        <v>1.74</v>
      </c>
    </row>
    <row r="145" ht="15.75" customHeight="1">
      <c r="B145" t="str">
        <f t="shared" si="1"/>
        <v>5425600</v>
      </c>
      <c r="C145" s="4" t="str">
        <f t="shared" si="8"/>
        <v>2.15</v>
      </c>
      <c r="D145" t="str">
        <f t="shared" si="2"/>
        <v>1.44</v>
      </c>
      <c r="E145" t="str">
        <f t="shared" si="3"/>
        <v>9060752</v>
      </c>
      <c r="G145" t="str">
        <f t="shared" si="4"/>
        <v>1.59</v>
      </c>
      <c r="H145" t="str">
        <f t="shared" si="5"/>
        <v>9440544</v>
      </c>
      <c r="J145" t="str">
        <f t="shared" si="6"/>
        <v>si</v>
      </c>
      <c r="K145" t="str">
        <f t="shared" si="7"/>
        <v>1.74</v>
      </c>
    </row>
    <row r="146" ht="15.75" customHeight="1">
      <c r="B146" t="str">
        <f t="shared" si="1"/>
        <v>5450800</v>
      </c>
      <c r="C146" s="4" t="str">
        <f t="shared" si="8"/>
        <v>2.16</v>
      </c>
      <c r="D146" t="str">
        <f t="shared" si="2"/>
        <v>1.44</v>
      </c>
      <c r="E146" t="str">
        <f t="shared" si="3"/>
        <v>9102836</v>
      </c>
      <c r="G146" t="str">
        <f t="shared" si="4"/>
        <v>1.59</v>
      </c>
      <c r="H146" t="str">
        <f t="shared" si="5"/>
        <v>9484392</v>
      </c>
      <c r="J146" t="str">
        <f t="shared" si="6"/>
        <v>si</v>
      </c>
      <c r="K146" t="str">
        <f t="shared" si="7"/>
        <v>1.74</v>
      </c>
    </row>
    <row r="147" ht="15.75" customHeight="1">
      <c r="B147" t="str">
        <f t="shared" si="1"/>
        <v>5476000</v>
      </c>
      <c r="C147" s="4" t="str">
        <f t="shared" si="8"/>
        <v>2.17</v>
      </c>
      <c r="D147" t="str">
        <f t="shared" si="2"/>
        <v>1.44</v>
      </c>
      <c r="E147" t="str">
        <f t="shared" si="3"/>
        <v>9144920</v>
      </c>
      <c r="G147" t="str">
        <f t="shared" si="4"/>
        <v>1.59</v>
      </c>
      <c r="H147" t="str">
        <f t="shared" si="5"/>
        <v>9528240</v>
      </c>
      <c r="J147" t="str">
        <f t="shared" si="6"/>
        <v>si</v>
      </c>
      <c r="K147" t="str">
        <f t="shared" si="7"/>
        <v>1.74</v>
      </c>
    </row>
    <row r="148" ht="15.75" customHeight="1">
      <c r="B148" t="str">
        <f t="shared" si="1"/>
        <v>5501200</v>
      </c>
      <c r="C148" s="4" t="str">
        <f t="shared" si="8"/>
        <v>2.18</v>
      </c>
      <c r="D148" t="str">
        <f t="shared" si="2"/>
        <v>1.44</v>
      </c>
      <c r="E148" t="str">
        <f t="shared" si="3"/>
        <v>9187004</v>
      </c>
      <c r="G148" t="str">
        <f t="shared" si="4"/>
        <v>1.59</v>
      </c>
      <c r="H148" t="str">
        <f t="shared" si="5"/>
        <v>9572088</v>
      </c>
      <c r="J148" t="str">
        <f t="shared" si="6"/>
        <v>si</v>
      </c>
      <c r="K148" t="str">
        <f t="shared" si="7"/>
        <v>1.74</v>
      </c>
    </row>
    <row r="149" ht="15.75" customHeight="1">
      <c r="B149" t="str">
        <f t="shared" si="1"/>
        <v>5526400</v>
      </c>
      <c r="C149" s="4" t="str">
        <f t="shared" si="8"/>
        <v>2.19</v>
      </c>
      <c r="D149" t="str">
        <f t="shared" si="2"/>
        <v>1.44</v>
      </c>
      <c r="E149" t="str">
        <f t="shared" si="3"/>
        <v>9229088</v>
      </c>
      <c r="G149" t="str">
        <f t="shared" si="4"/>
        <v>1.59</v>
      </c>
      <c r="H149" t="str">
        <f t="shared" si="5"/>
        <v>9615936</v>
      </c>
      <c r="J149" t="str">
        <f t="shared" si="6"/>
        <v>si</v>
      </c>
      <c r="K149" t="str">
        <f t="shared" si="7"/>
        <v>1.74</v>
      </c>
    </row>
    <row r="150" ht="15.75" customHeight="1">
      <c r="B150" t="str">
        <f t="shared" si="1"/>
        <v>5551600</v>
      </c>
      <c r="C150" s="4" t="str">
        <f t="shared" si="8"/>
        <v>2.20</v>
      </c>
      <c r="D150" t="str">
        <f t="shared" si="2"/>
        <v>1.44</v>
      </c>
      <c r="E150" t="str">
        <f t="shared" si="3"/>
        <v>9271172</v>
      </c>
      <c r="G150" t="str">
        <f t="shared" si="4"/>
        <v>1.59</v>
      </c>
      <c r="H150" t="str">
        <f t="shared" si="5"/>
        <v>9659784</v>
      </c>
      <c r="J150" t="str">
        <f t="shared" si="6"/>
        <v>si</v>
      </c>
      <c r="K150" t="str">
        <f t="shared" si="7"/>
        <v>1.74</v>
      </c>
    </row>
    <row r="151" ht="15.75" customHeight="1">
      <c r="B151" t="str">
        <f t="shared" si="1"/>
        <v>5576800</v>
      </c>
      <c r="C151" s="4" t="str">
        <f t="shared" si="8"/>
        <v>2.21</v>
      </c>
      <c r="D151" t="str">
        <f t="shared" si="2"/>
        <v>1.44</v>
      </c>
      <c r="E151" t="str">
        <f t="shared" si="3"/>
        <v>9313256</v>
      </c>
      <c r="G151" t="str">
        <f t="shared" si="4"/>
        <v>1.59</v>
      </c>
      <c r="H151" t="str">
        <f t="shared" si="5"/>
        <v>9703632</v>
      </c>
      <c r="J151" t="str">
        <f t="shared" si="6"/>
        <v>si</v>
      </c>
      <c r="K151" t="str">
        <f t="shared" si="7"/>
        <v>1.74</v>
      </c>
    </row>
    <row r="152" ht="15.75" customHeight="1">
      <c r="B152" t="str">
        <f t="shared" si="1"/>
        <v>5602000</v>
      </c>
      <c r="C152" s="4" t="str">
        <f t="shared" si="8"/>
        <v>2.22</v>
      </c>
      <c r="D152" t="str">
        <f t="shared" si="2"/>
        <v>1.44</v>
      </c>
      <c r="E152" t="str">
        <f t="shared" si="3"/>
        <v>9355340</v>
      </c>
      <c r="G152" t="str">
        <f t="shared" si="4"/>
        <v>1.59</v>
      </c>
      <c r="H152" t="str">
        <f t="shared" si="5"/>
        <v>9747480</v>
      </c>
      <c r="J152" t="str">
        <f t="shared" si="6"/>
        <v>si</v>
      </c>
      <c r="K152" t="str">
        <f t="shared" si="7"/>
        <v>1.74</v>
      </c>
    </row>
    <row r="153" ht="15.75" customHeight="1">
      <c r="B153" t="str">
        <f t="shared" si="1"/>
        <v>5627200</v>
      </c>
      <c r="C153" s="4" t="str">
        <f t="shared" si="8"/>
        <v>2.23</v>
      </c>
      <c r="D153" t="str">
        <f t="shared" si="2"/>
        <v>1.44</v>
      </c>
      <c r="E153" t="str">
        <f t="shared" si="3"/>
        <v>9397424</v>
      </c>
      <c r="G153" t="str">
        <f t="shared" si="4"/>
        <v>1.59</v>
      </c>
      <c r="H153" t="str">
        <f t="shared" si="5"/>
        <v>9791328</v>
      </c>
      <c r="J153" t="str">
        <f t="shared" si="6"/>
        <v>si</v>
      </c>
      <c r="K153" t="str">
        <f t="shared" si="7"/>
        <v>1.74</v>
      </c>
    </row>
    <row r="154" ht="15.75" customHeight="1">
      <c r="B154" t="str">
        <f t="shared" si="1"/>
        <v>5652400</v>
      </c>
      <c r="C154" s="4" t="str">
        <f t="shared" si="8"/>
        <v>2.24</v>
      </c>
      <c r="D154" t="str">
        <f t="shared" si="2"/>
        <v>1.44</v>
      </c>
      <c r="E154" t="str">
        <f t="shared" si="3"/>
        <v>9439508</v>
      </c>
      <c r="G154" t="str">
        <f t="shared" si="4"/>
        <v>1.59</v>
      </c>
      <c r="H154" t="str">
        <f t="shared" si="5"/>
        <v>9835176</v>
      </c>
      <c r="J154" t="str">
        <f t="shared" si="6"/>
        <v>si</v>
      </c>
      <c r="K154" t="str">
        <f t="shared" si="7"/>
        <v>1.74</v>
      </c>
    </row>
    <row r="155" ht="15.75" customHeight="1">
      <c r="B155" t="str">
        <f t="shared" si="1"/>
        <v>5677600</v>
      </c>
      <c r="C155" s="4" t="str">
        <f t="shared" si="8"/>
        <v>2.25</v>
      </c>
      <c r="D155" t="str">
        <f t="shared" si="2"/>
        <v>1.44</v>
      </c>
      <c r="E155" t="str">
        <f t="shared" si="3"/>
        <v>9481592</v>
      </c>
      <c r="G155" t="str">
        <f t="shared" si="4"/>
        <v>1.59</v>
      </c>
      <c r="H155" t="str">
        <f t="shared" si="5"/>
        <v>9879024</v>
      </c>
      <c r="J155" t="str">
        <f t="shared" si="6"/>
        <v>si</v>
      </c>
      <c r="K155" t="str">
        <f t="shared" si="7"/>
        <v>1.74</v>
      </c>
    </row>
    <row r="156" ht="15.75" customHeight="1">
      <c r="B156" t="str">
        <f t="shared" si="1"/>
        <v>5702800</v>
      </c>
      <c r="C156" s="4" t="str">
        <f t="shared" si="8"/>
        <v>2.26</v>
      </c>
      <c r="D156" t="str">
        <f t="shared" si="2"/>
        <v>1.44</v>
      </c>
      <c r="E156" t="str">
        <f t="shared" si="3"/>
        <v>9523676</v>
      </c>
      <c r="G156" t="str">
        <f t="shared" si="4"/>
        <v>1.59</v>
      </c>
      <c r="H156" t="str">
        <f t="shared" si="5"/>
        <v>9922872</v>
      </c>
      <c r="J156" t="str">
        <f t="shared" si="6"/>
        <v>si</v>
      </c>
      <c r="K156" t="str">
        <f t="shared" si="7"/>
        <v>1.74</v>
      </c>
    </row>
    <row r="157" ht="15.75" customHeight="1">
      <c r="B157" t="str">
        <f t="shared" si="1"/>
        <v>5728000</v>
      </c>
      <c r="C157" s="4" t="str">
        <f t="shared" si="8"/>
        <v>2.27</v>
      </c>
      <c r="D157" t="str">
        <f t="shared" si="2"/>
        <v>1.44</v>
      </c>
      <c r="E157" t="str">
        <f t="shared" si="3"/>
        <v>9565760</v>
      </c>
      <c r="G157" t="str">
        <f t="shared" si="4"/>
        <v>1.59</v>
      </c>
      <c r="H157" t="str">
        <f t="shared" si="5"/>
        <v>9966720</v>
      </c>
      <c r="J157" t="str">
        <f t="shared" si="6"/>
        <v>si</v>
      </c>
      <c r="K157" t="str">
        <f t="shared" si="7"/>
        <v>1.74</v>
      </c>
    </row>
    <row r="158" ht="15.75" customHeight="1">
      <c r="B158" t="str">
        <f t="shared" si="1"/>
        <v>5753200</v>
      </c>
      <c r="C158" s="4" t="str">
        <f t="shared" si="8"/>
        <v>2.28</v>
      </c>
      <c r="D158" t="str">
        <f t="shared" si="2"/>
        <v>1.44</v>
      </c>
      <c r="E158" t="str">
        <f t="shared" si="3"/>
        <v>9607844</v>
      </c>
      <c r="G158" t="str">
        <f t="shared" si="4"/>
        <v>1.59</v>
      </c>
      <c r="H158" t="str">
        <f t="shared" si="5"/>
        <v>10010568</v>
      </c>
      <c r="J158" t="str">
        <f t="shared" si="6"/>
        <v>si</v>
      </c>
      <c r="K158" t="str">
        <f t="shared" si="7"/>
        <v>1.74</v>
      </c>
    </row>
    <row r="159" ht="15.75" customHeight="1">
      <c r="B159" t="str">
        <f t="shared" si="1"/>
        <v>5778400</v>
      </c>
      <c r="C159" s="4" t="str">
        <f t="shared" si="8"/>
        <v>2.29</v>
      </c>
      <c r="D159" t="str">
        <f t="shared" si="2"/>
        <v>1.44</v>
      </c>
      <c r="E159" t="str">
        <f t="shared" si="3"/>
        <v>9649928</v>
      </c>
      <c r="G159" t="str">
        <f t="shared" si="4"/>
        <v>1.59</v>
      </c>
      <c r="H159" t="str">
        <f t="shared" si="5"/>
        <v>10054416</v>
      </c>
      <c r="J159" t="str">
        <f t="shared" si="6"/>
        <v>si</v>
      </c>
      <c r="K159" t="str">
        <f t="shared" si="7"/>
        <v>1.74</v>
      </c>
    </row>
    <row r="160" ht="15.75" customHeight="1">
      <c r="B160" t="str">
        <f t="shared" si="1"/>
        <v>5803600</v>
      </c>
      <c r="C160" s="4" t="str">
        <f t="shared" si="8"/>
        <v>2.30</v>
      </c>
      <c r="D160" t="str">
        <f t="shared" si="2"/>
        <v>1.44</v>
      </c>
      <c r="E160" t="str">
        <f t="shared" si="3"/>
        <v>9692012</v>
      </c>
      <c r="G160" t="str">
        <f t="shared" si="4"/>
        <v>1.59</v>
      </c>
      <c r="H160" t="str">
        <f t="shared" si="5"/>
        <v>10098264</v>
      </c>
      <c r="J160" t="str">
        <f t="shared" si="6"/>
        <v>si</v>
      </c>
      <c r="K160" t="str">
        <f t="shared" si="7"/>
        <v>1.74</v>
      </c>
    </row>
    <row r="161" ht="15.75" customHeight="1">
      <c r="B161" t="str">
        <f t="shared" si="1"/>
        <v>5828800</v>
      </c>
      <c r="C161" s="4" t="str">
        <f t="shared" si="8"/>
        <v>2.31</v>
      </c>
      <c r="D161" t="str">
        <f t="shared" si="2"/>
        <v>1.44</v>
      </c>
      <c r="E161" t="str">
        <f t="shared" si="3"/>
        <v>9734096</v>
      </c>
      <c r="G161" t="str">
        <f t="shared" si="4"/>
        <v>1.59</v>
      </c>
      <c r="H161" t="str">
        <f t="shared" si="5"/>
        <v>10142112</v>
      </c>
      <c r="J161" t="str">
        <f t="shared" si="6"/>
        <v>si</v>
      </c>
      <c r="K161" t="str">
        <f t="shared" si="7"/>
        <v>1.74</v>
      </c>
    </row>
    <row r="162" ht="15.75" customHeight="1">
      <c r="B162" t="str">
        <f t="shared" si="1"/>
        <v>5854000</v>
      </c>
      <c r="C162" s="4" t="str">
        <f t="shared" si="8"/>
        <v>2.32</v>
      </c>
      <c r="D162" t="str">
        <f t="shared" si="2"/>
        <v>1.44</v>
      </c>
      <c r="E162" t="str">
        <f t="shared" si="3"/>
        <v>9776180</v>
      </c>
      <c r="G162" t="str">
        <f t="shared" si="4"/>
        <v>1.59</v>
      </c>
      <c r="H162" t="str">
        <f t="shared" si="5"/>
        <v>10185960</v>
      </c>
      <c r="J162" t="str">
        <f t="shared" si="6"/>
        <v>si</v>
      </c>
      <c r="K162" t="str">
        <f t="shared" si="7"/>
        <v>1.74</v>
      </c>
    </row>
    <row r="163" ht="15.75" customHeight="1">
      <c r="B163" t="str">
        <f t="shared" si="1"/>
        <v>5879200</v>
      </c>
      <c r="C163" s="4" t="str">
        <f t="shared" si="8"/>
        <v>2.33</v>
      </c>
      <c r="D163" t="str">
        <f t="shared" si="2"/>
        <v>1.44</v>
      </c>
      <c r="E163" t="str">
        <f t="shared" si="3"/>
        <v>9818264</v>
      </c>
      <c r="G163" t="str">
        <f t="shared" si="4"/>
        <v>1.59</v>
      </c>
      <c r="H163" t="str">
        <f t="shared" si="5"/>
        <v>10229808</v>
      </c>
      <c r="J163" t="str">
        <f t="shared" si="6"/>
        <v>si</v>
      </c>
      <c r="K163" t="str">
        <f t="shared" si="7"/>
        <v>1.74</v>
      </c>
    </row>
    <row r="164" ht="15.75" customHeight="1">
      <c r="B164" t="str">
        <f t="shared" si="1"/>
        <v>5904400</v>
      </c>
      <c r="C164" s="4" t="str">
        <f t="shared" si="8"/>
        <v>2.34</v>
      </c>
      <c r="D164" t="str">
        <f t="shared" si="2"/>
        <v>1.44</v>
      </c>
      <c r="E164" t="str">
        <f t="shared" si="3"/>
        <v>9860348</v>
      </c>
      <c r="G164" t="str">
        <f t="shared" si="4"/>
        <v>1.59</v>
      </c>
      <c r="H164" t="str">
        <f t="shared" si="5"/>
        <v>10273656</v>
      </c>
      <c r="J164" t="str">
        <f t="shared" si="6"/>
        <v>si</v>
      </c>
      <c r="K164" t="str">
        <f t="shared" si="7"/>
        <v>1.74</v>
      </c>
    </row>
    <row r="165" ht="15.75" customHeight="1">
      <c r="B165" t="str">
        <f t="shared" si="1"/>
        <v>5929600</v>
      </c>
      <c r="C165" s="4" t="str">
        <f t="shared" si="8"/>
        <v>2.35</v>
      </c>
      <c r="D165" t="str">
        <f t="shared" si="2"/>
        <v>1.44</v>
      </c>
      <c r="E165" t="str">
        <f t="shared" si="3"/>
        <v>9902432</v>
      </c>
      <c r="G165" t="str">
        <f t="shared" si="4"/>
        <v>1.59</v>
      </c>
      <c r="H165" t="str">
        <f t="shared" si="5"/>
        <v>10317504</v>
      </c>
      <c r="J165" t="str">
        <f t="shared" si="6"/>
        <v>si</v>
      </c>
      <c r="K165" t="str">
        <f t="shared" si="7"/>
        <v>1.74</v>
      </c>
    </row>
    <row r="166" ht="15.75" customHeight="1">
      <c r="B166" t="str">
        <f t="shared" si="1"/>
        <v>5954800</v>
      </c>
      <c r="C166" s="4" t="str">
        <f t="shared" si="8"/>
        <v>2.36</v>
      </c>
      <c r="D166" t="str">
        <f t="shared" si="2"/>
        <v>1.44</v>
      </c>
      <c r="E166" t="str">
        <f t="shared" si="3"/>
        <v>9944516</v>
      </c>
      <c r="G166" t="str">
        <f t="shared" si="4"/>
        <v>1.59</v>
      </c>
      <c r="H166" t="str">
        <f t="shared" si="5"/>
        <v>10361352</v>
      </c>
      <c r="J166" t="str">
        <f t="shared" si="6"/>
        <v>si</v>
      </c>
      <c r="K166" t="str">
        <f t="shared" si="7"/>
        <v>1.74</v>
      </c>
    </row>
    <row r="167" ht="15.75" customHeight="1">
      <c r="B167" t="str">
        <f t="shared" si="1"/>
        <v>5980000</v>
      </c>
      <c r="C167" s="4" t="str">
        <f t="shared" si="8"/>
        <v>2.37</v>
      </c>
      <c r="D167" t="str">
        <f t="shared" si="2"/>
        <v>1.44</v>
      </c>
      <c r="E167" t="str">
        <f t="shared" si="3"/>
        <v>9986600</v>
      </c>
      <c r="G167" t="str">
        <f t="shared" si="4"/>
        <v>1.59</v>
      </c>
      <c r="H167" t="str">
        <f t="shared" si="5"/>
        <v>10405200</v>
      </c>
      <c r="J167" t="str">
        <f t="shared" si="6"/>
        <v>si</v>
      </c>
      <c r="K167" t="str">
        <f t="shared" si="7"/>
        <v>1.74</v>
      </c>
    </row>
    <row r="168" ht="15.75" customHeight="1">
      <c r="B168" t="str">
        <f t="shared" si="1"/>
        <v>6005200</v>
      </c>
      <c r="C168" s="4" t="str">
        <f t="shared" si="8"/>
        <v>2.38</v>
      </c>
      <c r="D168" t="str">
        <f t="shared" si="2"/>
        <v>1.44</v>
      </c>
      <c r="E168" t="str">
        <f t="shared" si="3"/>
        <v>10028684</v>
      </c>
      <c r="G168" t="str">
        <f t="shared" si="4"/>
        <v>1.59</v>
      </c>
      <c r="H168" t="str">
        <f t="shared" si="5"/>
        <v>10449048</v>
      </c>
      <c r="J168" t="str">
        <f t="shared" si="6"/>
        <v>si</v>
      </c>
      <c r="K168" t="str">
        <f t="shared" si="7"/>
        <v>1.74</v>
      </c>
    </row>
    <row r="169" ht="15.75" customHeight="1">
      <c r="B169" t="str">
        <f t="shared" si="1"/>
        <v>6030400</v>
      </c>
      <c r="C169" s="4" t="str">
        <f t="shared" si="8"/>
        <v>2.39</v>
      </c>
      <c r="D169" t="str">
        <f t="shared" si="2"/>
        <v>1.44</v>
      </c>
      <c r="E169" t="str">
        <f t="shared" si="3"/>
        <v>10070768</v>
      </c>
      <c r="G169" t="str">
        <f t="shared" si="4"/>
        <v>1.59</v>
      </c>
      <c r="H169" t="str">
        <f t="shared" si="5"/>
        <v>10492896</v>
      </c>
      <c r="J169" t="str">
        <f t="shared" si="6"/>
        <v>si</v>
      </c>
      <c r="K169" t="str">
        <f t="shared" si="7"/>
        <v>1.74</v>
      </c>
    </row>
    <row r="170" ht="15.75" customHeight="1">
      <c r="B170" t="str">
        <f t="shared" si="1"/>
        <v>6055600</v>
      </c>
      <c r="C170" s="4" t="str">
        <f t="shared" si="8"/>
        <v>2.40</v>
      </c>
      <c r="D170" t="str">
        <f t="shared" si="2"/>
        <v>1.44</v>
      </c>
      <c r="E170" t="str">
        <f t="shared" si="3"/>
        <v>10112852</v>
      </c>
      <c r="G170" t="str">
        <f t="shared" si="4"/>
        <v>1.59</v>
      </c>
      <c r="H170" t="str">
        <f t="shared" si="5"/>
        <v>10536744</v>
      </c>
      <c r="J170" t="str">
        <f t="shared" si="6"/>
        <v>si</v>
      </c>
      <c r="K170" t="str">
        <f t="shared" si="7"/>
        <v>1.74</v>
      </c>
    </row>
    <row r="171" ht="15.75" customHeight="1">
      <c r="B171" t="str">
        <f t="shared" si="1"/>
        <v>6080800</v>
      </c>
      <c r="C171" s="4" t="str">
        <f t="shared" si="8"/>
        <v>2.41</v>
      </c>
      <c r="D171" t="str">
        <f t="shared" si="2"/>
        <v>1.44</v>
      </c>
      <c r="E171" t="str">
        <f t="shared" si="3"/>
        <v>10154936</v>
      </c>
      <c r="G171" t="str">
        <f t="shared" si="4"/>
        <v>1.59</v>
      </c>
      <c r="H171" t="str">
        <f t="shared" si="5"/>
        <v>10580592</v>
      </c>
      <c r="J171" t="str">
        <f t="shared" si="6"/>
        <v>si</v>
      </c>
      <c r="K171" t="str">
        <f t="shared" si="7"/>
        <v>1.74</v>
      </c>
    </row>
    <row r="172" ht="15.75" customHeight="1">
      <c r="B172" t="str">
        <f t="shared" si="1"/>
        <v>6106000</v>
      </c>
      <c r="C172" s="4" t="str">
        <f t="shared" si="8"/>
        <v>2.42</v>
      </c>
      <c r="D172" t="str">
        <f t="shared" si="2"/>
        <v>1.44</v>
      </c>
      <c r="E172" t="str">
        <f t="shared" si="3"/>
        <v>10197020</v>
      </c>
      <c r="G172" t="str">
        <f t="shared" si="4"/>
        <v>1.59</v>
      </c>
      <c r="H172" t="str">
        <f t="shared" si="5"/>
        <v>10624440</v>
      </c>
      <c r="J172" t="str">
        <f t="shared" si="6"/>
        <v>si</v>
      </c>
      <c r="K172" t="str">
        <f t="shared" si="7"/>
        <v>1.74</v>
      </c>
    </row>
    <row r="173" ht="15.75" customHeight="1">
      <c r="B173" t="str">
        <f t="shared" si="1"/>
        <v>6131200</v>
      </c>
      <c r="C173" s="4" t="str">
        <f t="shared" si="8"/>
        <v>2.43</v>
      </c>
      <c r="D173" t="str">
        <f t="shared" si="2"/>
        <v>1.44</v>
      </c>
      <c r="E173" t="str">
        <f t="shared" si="3"/>
        <v>10239104</v>
      </c>
      <c r="G173" t="str">
        <f t="shared" si="4"/>
        <v>1.59</v>
      </c>
      <c r="H173" t="str">
        <f t="shared" si="5"/>
        <v>10668288</v>
      </c>
      <c r="J173" t="str">
        <f t="shared" si="6"/>
        <v>si</v>
      </c>
      <c r="K173" t="str">
        <f t="shared" si="7"/>
        <v>1.74</v>
      </c>
    </row>
    <row r="174" ht="15.75" customHeight="1">
      <c r="B174" t="str">
        <f t="shared" si="1"/>
        <v>6156400</v>
      </c>
      <c r="C174" s="4" t="str">
        <f t="shared" si="8"/>
        <v>2.44</v>
      </c>
      <c r="D174" t="str">
        <f t="shared" si="2"/>
        <v>1.44</v>
      </c>
      <c r="E174" t="str">
        <f t="shared" si="3"/>
        <v>10281188</v>
      </c>
      <c r="G174" t="str">
        <f t="shared" si="4"/>
        <v>1.59</v>
      </c>
      <c r="H174" t="str">
        <f t="shared" si="5"/>
        <v>10712136</v>
      </c>
      <c r="J174" t="str">
        <f t="shared" si="6"/>
        <v>si</v>
      </c>
      <c r="K174" t="str">
        <f t="shared" si="7"/>
        <v>1.74</v>
      </c>
    </row>
    <row r="175" ht="15.75" customHeight="1">
      <c r="B175" t="str">
        <f t="shared" si="1"/>
        <v>6181600</v>
      </c>
      <c r="C175" s="4" t="str">
        <f t="shared" si="8"/>
        <v>2.45</v>
      </c>
      <c r="D175" t="str">
        <f t="shared" si="2"/>
        <v>1.44</v>
      </c>
      <c r="E175" t="str">
        <f t="shared" si="3"/>
        <v>10323272</v>
      </c>
      <c r="G175" t="str">
        <f t="shared" si="4"/>
        <v>1.59</v>
      </c>
      <c r="H175" t="str">
        <f t="shared" si="5"/>
        <v>10755984</v>
      </c>
      <c r="J175" t="str">
        <f t="shared" si="6"/>
        <v>si</v>
      </c>
      <c r="K175" t="str">
        <f t="shared" si="7"/>
        <v>1.74</v>
      </c>
    </row>
    <row r="176" ht="15.75" customHeight="1">
      <c r="B176" t="str">
        <f t="shared" si="1"/>
        <v>6206800</v>
      </c>
      <c r="C176" s="4" t="str">
        <f t="shared" si="8"/>
        <v>2.46</v>
      </c>
      <c r="D176" t="str">
        <f t="shared" si="2"/>
        <v>1.44</v>
      </c>
      <c r="E176" t="str">
        <f t="shared" si="3"/>
        <v>10365356</v>
      </c>
      <c r="G176" t="str">
        <f t="shared" si="4"/>
        <v>1.59</v>
      </c>
      <c r="H176" t="str">
        <f t="shared" si="5"/>
        <v>10799832</v>
      </c>
      <c r="J176" t="str">
        <f t="shared" si="6"/>
        <v>si</v>
      </c>
      <c r="K176" t="str">
        <f t="shared" si="7"/>
        <v>1.74</v>
      </c>
    </row>
    <row r="177" ht="15.75" customHeight="1">
      <c r="B177" t="str">
        <f t="shared" si="1"/>
        <v>6232000</v>
      </c>
      <c r="C177" s="4" t="str">
        <f t="shared" si="8"/>
        <v>2.47</v>
      </c>
      <c r="D177" t="str">
        <f t="shared" si="2"/>
        <v>1.44</v>
      </c>
      <c r="E177" t="str">
        <f t="shared" si="3"/>
        <v>10407440</v>
      </c>
      <c r="G177" t="str">
        <f t="shared" si="4"/>
        <v>1.59</v>
      </c>
      <c r="H177" t="str">
        <f t="shared" si="5"/>
        <v>10843680</v>
      </c>
      <c r="J177" t="str">
        <f t="shared" si="6"/>
        <v>si</v>
      </c>
      <c r="K177" t="str">
        <f t="shared" si="7"/>
        <v>1.74</v>
      </c>
    </row>
    <row r="178" ht="15.75" customHeight="1">
      <c r="B178" t="str">
        <f t="shared" si="1"/>
        <v>6257200</v>
      </c>
      <c r="C178" s="4" t="str">
        <f t="shared" si="8"/>
        <v>2.48</v>
      </c>
      <c r="D178" t="str">
        <f t="shared" si="2"/>
        <v>1.44</v>
      </c>
      <c r="E178" t="str">
        <f t="shared" si="3"/>
        <v>10449524</v>
      </c>
      <c r="G178" t="str">
        <f t="shared" si="4"/>
        <v>1.59</v>
      </c>
      <c r="H178" t="str">
        <f t="shared" si="5"/>
        <v>10887528</v>
      </c>
      <c r="J178" t="str">
        <f t="shared" si="6"/>
        <v>si</v>
      </c>
      <c r="K178" t="str">
        <f t="shared" si="7"/>
        <v>1.74</v>
      </c>
    </row>
    <row r="179" ht="15.75" customHeight="1">
      <c r="B179" t="str">
        <f t="shared" si="1"/>
        <v>6282400</v>
      </c>
      <c r="C179" s="4" t="str">
        <f t="shared" si="8"/>
        <v>2.49</v>
      </c>
      <c r="D179" t="str">
        <f t="shared" si="2"/>
        <v>1.44</v>
      </c>
      <c r="E179" t="str">
        <f t="shared" si="3"/>
        <v>10491608</v>
      </c>
      <c r="G179" t="str">
        <f t="shared" si="4"/>
        <v>1.59</v>
      </c>
      <c r="H179" t="str">
        <f t="shared" si="5"/>
        <v>10931376</v>
      </c>
      <c r="J179" t="str">
        <f t="shared" si="6"/>
        <v>si</v>
      </c>
      <c r="K179" t="str">
        <f t="shared" si="7"/>
        <v>1.74</v>
      </c>
    </row>
    <row r="180" ht="15.75" customHeight="1">
      <c r="B180" t="str">
        <f t="shared" si="1"/>
        <v>6307600</v>
      </c>
      <c r="C180" s="4" t="str">
        <f t="shared" si="8"/>
        <v>2.50</v>
      </c>
      <c r="D180" t="str">
        <f t="shared" si="2"/>
        <v>1.44</v>
      </c>
      <c r="E180" t="str">
        <f t="shared" si="3"/>
        <v>10533692</v>
      </c>
      <c r="G180" t="str">
        <f t="shared" si="4"/>
        <v>1.59</v>
      </c>
      <c r="H180" t="str">
        <f t="shared" si="5"/>
        <v>10975224</v>
      </c>
      <c r="J180" t="str">
        <f t="shared" si="6"/>
        <v>si</v>
      </c>
      <c r="K180" t="str">
        <f t="shared" si="7"/>
        <v>1.74</v>
      </c>
    </row>
    <row r="181" ht="15.75" customHeight="1">
      <c r="B181" t="str">
        <f t="shared" si="1"/>
        <v>6332800</v>
      </c>
      <c r="C181" s="4" t="str">
        <f t="shared" si="8"/>
        <v>2.51</v>
      </c>
      <c r="D181" t="str">
        <f t="shared" si="2"/>
        <v>1.44</v>
      </c>
      <c r="E181" t="str">
        <f t="shared" si="3"/>
        <v>10575776</v>
      </c>
      <c r="G181" t="str">
        <f t="shared" si="4"/>
        <v>1.59</v>
      </c>
      <c r="H181" t="str">
        <f t="shared" si="5"/>
        <v>11019072</v>
      </c>
      <c r="J181" t="str">
        <f t="shared" si="6"/>
        <v>si</v>
      </c>
      <c r="K181" t="str">
        <f t="shared" si="7"/>
        <v>1.74</v>
      </c>
    </row>
    <row r="182" ht="15.75" customHeight="1">
      <c r="B182" t="str">
        <f t="shared" si="1"/>
        <v>6358000</v>
      </c>
      <c r="C182" s="4" t="str">
        <f t="shared" si="8"/>
        <v>2.52</v>
      </c>
      <c r="D182" t="str">
        <f t="shared" si="2"/>
        <v>1.44</v>
      </c>
      <c r="E182" t="str">
        <f t="shared" si="3"/>
        <v>10617860</v>
      </c>
      <c r="G182" t="str">
        <f t="shared" si="4"/>
        <v>1.59</v>
      </c>
      <c r="H182" t="str">
        <f t="shared" si="5"/>
        <v>11062920</v>
      </c>
      <c r="J182" t="str">
        <f t="shared" si="6"/>
        <v>si</v>
      </c>
      <c r="K182" t="str">
        <f t="shared" si="7"/>
        <v>1.74</v>
      </c>
    </row>
    <row r="183" ht="15.75" customHeight="1">
      <c r="B183" t="str">
        <f t="shared" si="1"/>
        <v>6383200</v>
      </c>
      <c r="C183" s="4" t="str">
        <f t="shared" si="8"/>
        <v>2.53</v>
      </c>
      <c r="D183" t="str">
        <f t="shared" si="2"/>
        <v>1.44</v>
      </c>
      <c r="E183" t="str">
        <f t="shared" si="3"/>
        <v>10659944</v>
      </c>
      <c r="G183" t="str">
        <f t="shared" si="4"/>
        <v>1.59</v>
      </c>
      <c r="H183" t="str">
        <f t="shared" si="5"/>
        <v>11106768</v>
      </c>
      <c r="J183" t="str">
        <f t="shared" si="6"/>
        <v>si</v>
      </c>
      <c r="K183" t="str">
        <f t="shared" si="7"/>
        <v>1.74</v>
      </c>
    </row>
    <row r="184" ht="15.75" customHeight="1">
      <c r="B184" t="str">
        <f t="shared" si="1"/>
        <v>6408400</v>
      </c>
      <c r="C184" s="4" t="str">
        <f t="shared" si="8"/>
        <v>2.54</v>
      </c>
      <c r="D184" t="str">
        <f t="shared" si="2"/>
        <v>1.44</v>
      </c>
      <c r="E184" t="str">
        <f t="shared" si="3"/>
        <v>10702028</v>
      </c>
      <c r="G184" t="str">
        <f t="shared" si="4"/>
        <v>1.59</v>
      </c>
      <c r="H184" t="str">
        <f t="shared" si="5"/>
        <v>11150616</v>
      </c>
      <c r="J184" t="str">
        <f t="shared" si="6"/>
        <v>si</v>
      </c>
      <c r="K184" t="str">
        <f t="shared" si="7"/>
        <v>1.74</v>
      </c>
    </row>
  </sheetData>
  <dataValidations>
    <dataValidation type="list" allowBlank="1" showErrorMessage="1" sqref="F3">
      <formula1>"Pago Anticipado Trimestre,Pago Anticipado año,Pago anticipadoSemestre,No aplica,VentasOro"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9.57"/>
    <col customWidth="1" min="8" max="16" width="10.71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8</v>
      </c>
      <c r="J2" s="1" t="s">
        <v>9</v>
      </c>
      <c r="K2" s="1" t="s">
        <v>9</v>
      </c>
    </row>
    <row r="3">
      <c r="B3" t="str">
        <f t="array" ref="B3">XLOOKUP(D3,'[1]Matriz de Ejecutivos'!$B:$B,'[1]Matriz de Ejecutivos'!$C:$C,,0)</f>
        <v>#REF!</v>
      </c>
      <c r="C3" t="s">
        <v>65</v>
      </c>
      <c r="D3" t="str">
        <f>Hoja3!E3</f>
        <v>1065607667</v>
      </c>
      <c r="E3" t="str">
        <f>IF(C3="Principal",2520000,2200000)</f>
        <v>2200000</v>
      </c>
      <c r="F3" t="str">
        <f>Hoja3!G3</f>
        <v>VentasOro</v>
      </c>
      <c r="G3" t="str">
        <f t="array" ref="G3">XLOOKUP(D3,'[1]Matriz de Ejecutivos'!$B:$B,'[1]Matriz de Ejecutivos'!$I:$I,,0)</f>
        <v>#REF!</v>
      </c>
      <c r="H3" t="str">
        <f>versf!O3</f>
        <v>4000000</v>
      </c>
      <c r="I3" s="5" t="str">
        <f t="array" ref="I3">XLOOKUP("si", J17:J155, C17:C155)</f>
        <v>139.30%</v>
      </c>
      <c r="J3" s="5" t="str">
        <f>IF(I3-C17&gt;0,I3-C17,"Ya cumpliste")</f>
        <v>52.00%</v>
      </c>
      <c r="K3" s="5" t="str">
        <f>IF(I3-C17&gt;0,I3-C17,"Ya cumpliste")</f>
        <v>52.00%</v>
      </c>
    </row>
    <row r="6">
      <c r="B6" s="1" t="s">
        <v>13</v>
      </c>
    </row>
    <row r="7">
      <c r="B7" t="str">
        <f>versf!B7</f>
        <v>3</v>
      </c>
    </row>
    <row r="14">
      <c r="N14" s="2" t="str">
        <f>versf!U3</f>
        <v>8.00</v>
      </c>
    </row>
    <row r="16">
      <c r="B16" t="s">
        <v>57</v>
      </c>
      <c r="C16" t="s">
        <v>58</v>
      </c>
      <c r="D16" t="s">
        <v>59</v>
      </c>
      <c r="E16" t="s">
        <v>60</v>
      </c>
      <c r="G16" t="s">
        <v>61</v>
      </c>
      <c r="H16" t="s">
        <v>62</v>
      </c>
    </row>
    <row r="17">
      <c r="B17" t="str">
        <f t="shared" ref="B17:B184" si="1">$E$3*C17</f>
        <v>1920634.921</v>
      </c>
      <c r="C17" s="3" t="str">
        <f>versf!R3</f>
        <v>87.30%</v>
      </c>
      <c r="D17" t="str">
        <f t="shared" ref="D17:D184" si="2">IF(C17&gt;=2,1.44,IF(C17&gt;=1.63,1.28,IF(C17&gt;=1.25,1.08,IF(C17&gt;=1,0.92,IF(C17&gt;=0.8,0.56,0)))))</f>
        <v>0.56</v>
      </c>
      <c r="E17" t="str">
        <f t="shared" ref="E17:E184" si="3">IF($N$14&gt;0,B17*(D17+$N$25),B17*D17)</f>
        <v>1517301.587</v>
      </c>
      <c r="G17" t="str">
        <f t="shared" ref="G17:G184" si="4">IF($F$3="VentasOro",D17+0.15,IF($F$3="Pago Anticipado Trimestre",0.2+D17,IF($F$3="Pago AnticipadoSemestre",0.5+D17,IF($F$3="Pago Anticipado año",D17+0.7,D17))))</f>
        <v>0.71</v>
      </c>
      <c r="H17" t="str">
        <f t="shared" ref="H17:H184" si="5">B17*K17</f>
        <v>1651746.032</v>
      </c>
      <c r="J17" t="str">
        <f t="shared" ref="J17:J184" si="6">IF(E17&lt;$H$3,"no","si")</f>
        <v>no</v>
      </c>
      <c r="K17" t="str">
        <f t="shared" ref="K17:K184" si="7">IF($B$7&gt;=5,G17+0.3,IF($B$7&gt;=2,G17+0.15,G17))</f>
        <v>0.86</v>
      </c>
      <c r="N17">
        <v>0.0</v>
      </c>
      <c r="O17">
        <v>5.0</v>
      </c>
      <c r="P17">
        <v>0.0</v>
      </c>
    </row>
    <row r="18">
      <c r="B18" t="str">
        <f t="shared" si="1"/>
        <v>1942634.921</v>
      </c>
      <c r="C18" s="5" t="str">
        <f t="shared" ref="C18:C184" si="8">C17+0.01</f>
        <v>88.30%</v>
      </c>
      <c r="D18" t="str">
        <f t="shared" si="2"/>
        <v>0.56</v>
      </c>
      <c r="E18" t="str">
        <f t="shared" si="3"/>
        <v>1534681.587</v>
      </c>
      <c r="G18" t="str">
        <f t="shared" si="4"/>
        <v>0.71</v>
      </c>
      <c r="H18" t="str">
        <f t="shared" si="5"/>
        <v>1670666.032</v>
      </c>
      <c r="J18" t="str">
        <f t="shared" si="6"/>
        <v>no</v>
      </c>
      <c r="K18" t="str">
        <f t="shared" si="7"/>
        <v>0.86</v>
      </c>
      <c r="N18">
        <v>6.0</v>
      </c>
      <c r="O18">
        <v>7.0</v>
      </c>
      <c r="P18">
        <v>0.13999999999999999</v>
      </c>
    </row>
    <row r="19">
      <c r="B19" t="str">
        <f t="shared" si="1"/>
        <v>1964634.921</v>
      </c>
      <c r="C19" s="5" t="str">
        <f t="shared" si="8"/>
        <v>89.30%</v>
      </c>
      <c r="D19" t="str">
        <f t="shared" si="2"/>
        <v>0.56</v>
      </c>
      <c r="E19" t="str">
        <f t="shared" si="3"/>
        <v>1552061.587</v>
      </c>
      <c r="G19" t="str">
        <f t="shared" si="4"/>
        <v>0.71</v>
      </c>
      <c r="H19" t="str">
        <f t="shared" si="5"/>
        <v>1689586.032</v>
      </c>
      <c r="J19" t="str">
        <f t="shared" si="6"/>
        <v>no</v>
      </c>
      <c r="K19" t="str">
        <f t="shared" si="7"/>
        <v>0.86</v>
      </c>
      <c r="N19">
        <v>8.0</v>
      </c>
      <c r="O19">
        <v>9.0</v>
      </c>
      <c r="P19">
        <v>0.23</v>
      </c>
    </row>
    <row r="20">
      <c r="B20" t="str">
        <f t="shared" si="1"/>
        <v>1986634.921</v>
      </c>
      <c r="C20" s="5" t="str">
        <f t="shared" si="8"/>
        <v>90.30%</v>
      </c>
      <c r="D20" t="str">
        <f t="shared" si="2"/>
        <v>0.56</v>
      </c>
      <c r="E20" t="str">
        <f t="shared" si="3"/>
        <v>1569441.587</v>
      </c>
      <c r="G20" t="str">
        <f t="shared" si="4"/>
        <v>0.71</v>
      </c>
      <c r="H20" t="str">
        <f t="shared" si="5"/>
        <v>1708506.032</v>
      </c>
      <c r="J20" t="str">
        <f t="shared" si="6"/>
        <v>no</v>
      </c>
      <c r="K20" t="str">
        <f t="shared" si="7"/>
        <v>0.86</v>
      </c>
      <c r="N20">
        <v>10.0</v>
      </c>
      <c r="O20">
        <v>12.0</v>
      </c>
      <c r="P20">
        <v>0.27</v>
      </c>
    </row>
    <row r="21" ht="15.75" customHeight="1">
      <c r="B21" t="str">
        <f t="shared" si="1"/>
        <v>2008634.921</v>
      </c>
      <c r="C21" s="5" t="str">
        <f t="shared" si="8"/>
        <v>91.30%</v>
      </c>
      <c r="D21" t="str">
        <f t="shared" si="2"/>
        <v>0.56</v>
      </c>
      <c r="E21" t="str">
        <f t="shared" si="3"/>
        <v>1586821.587</v>
      </c>
      <c r="G21" t="str">
        <f t="shared" si="4"/>
        <v>0.71</v>
      </c>
      <c r="H21" t="str">
        <f t="shared" si="5"/>
        <v>1727426.032</v>
      </c>
      <c r="J21" t="str">
        <f t="shared" si="6"/>
        <v>no</v>
      </c>
      <c r="K21" t="str">
        <f t="shared" si="7"/>
        <v>0.86</v>
      </c>
      <c r="N21">
        <v>13.0</v>
      </c>
      <c r="O21">
        <v>15.0</v>
      </c>
      <c r="P21">
        <v>0.32</v>
      </c>
    </row>
    <row r="22" ht="15.75" customHeight="1">
      <c r="B22" t="str">
        <f t="shared" si="1"/>
        <v>2030634.921</v>
      </c>
      <c r="C22" s="5" t="str">
        <f t="shared" si="8"/>
        <v>92.30%</v>
      </c>
      <c r="D22" t="str">
        <f t="shared" si="2"/>
        <v>0.56</v>
      </c>
      <c r="E22" t="str">
        <f t="shared" si="3"/>
        <v>1604201.587</v>
      </c>
      <c r="G22" t="str">
        <f t="shared" si="4"/>
        <v>0.71</v>
      </c>
      <c r="H22" t="str">
        <f t="shared" si="5"/>
        <v>1746346.032</v>
      </c>
      <c r="J22" t="str">
        <f t="shared" si="6"/>
        <v>no</v>
      </c>
      <c r="K22" t="str">
        <f t="shared" si="7"/>
        <v>0.86</v>
      </c>
      <c r="N22">
        <v>16.0</v>
      </c>
      <c r="O22" t="s">
        <v>48</v>
      </c>
      <c r="P22">
        <v>0.36</v>
      </c>
    </row>
    <row r="23" ht="15.75" customHeight="1">
      <c r="B23" t="str">
        <f t="shared" si="1"/>
        <v>2052634.921</v>
      </c>
      <c r="C23" s="5" t="str">
        <f t="shared" si="8"/>
        <v>93.30%</v>
      </c>
      <c r="D23" t="str">
        <f t="shared" si="2"/>
        <v>0.56</v>
      </c>
      <c r="E23" t="str">
        <f t="shared" si="3"/>
        <v>1621581.587</v>
      </c>
      <c r="G23" t="str">
        <f t="shared" si="4"/>
        <v>0.71</v>
      </c>
      <c r="H23" t="str">
        <f t="shared" si="5"/>
        <v>1765266.032</v>
      </c>
      <c r="J23" t="str">
        <f t="shared" si="6"/>
        <v>no</v>
      </c>
      <c r="K23" t="str">
        <f t="shared" si="7"/>
        <v>0.86</v>
      </c>
    </row>
    <row r="24" ht="15.75" customHeight="1">
      <c r="B24" t="str">
        <f t="shared" si="1"/>
        <v>2074634.921</v>
      </c>
      <c r="C24" s="5" t="str">
        <f t="shared" si="8"/>
        <v>94.30%</v>
      </c>
      <c r="D24" t="str">
        <f t="shared" si="2"/>
        <v>0.56</v>
      </c>
      <c r="E24" t="str">
        <f t="shared" si="3"/>
        <v>1638961.587</v>
      </c>
      <c r="G24" t="str">
        <f t="shared" si="4"/>
        <v>0.71</v>
      </c>
      <c r="H24" t="str">
        <f t="shared" si="5"/>
        <v>1784186.032</v>
      </c>
      <c r="J24" t="str">
        <f t="shared" si="6"/>
        <v>no</v>
      </c>
      <c r="K24" t="str">
        <f t="shared" si="7"/>
        <v>0.86</v>
      </c>
    </row>
    <row r="25" ht="15.75" customHeight="1">
      <c r="B25" t="str">
        <f t="shared" si="1"/>
        <v>2096634.921</v>
      </c>
      <c r="C25" s="5" t="str">
        <f t="shared" si="8"/>
        <v>95.30%</v>
      </c>
      <c r="D25" t="str">
        <f t="shared" si="2"/>
        <v>0.56</v>
      </c>
      <c r="E25" t="str">
        <f t="shared" si="3"/>
        <v>1656341.587</v>
      </c>
      <c r="G25" t="str">
        <f t="shared" si="4"/>
        <v>0.71</v>
      </c>
      <c r="H25" t="str">
        <f t="shared" si="5"/>
        <v>1803106.032</v>
      </c>
      <c r="J25" t="str">
        <f t="shared" si="6"/>
        <v>no</v>
      </c>
      <c r="K25" t="str">
        <f t="shared" si="7"/>
        <v>0.86</v>
      </c>
      <c r="M25" t="s">
        <v>63</v>
      </c>
      <c r="N25" t="str">
        <f>IF(N14&gt;=16,P22,IF(N14&gt;=13,P21,IF(N14&gt;=10,P20,IF(N14&gt;=8,P19,IF(N14&gt;=6,P18,IF(N14&gt;=4,P17,0))))))</f>
        <v>0.23</v>
      </c>
    </row>
    <row r="26" ht="15.75" customHeight="1">
      <c r="B26" t="str">
        <f t="shared" si="1"/>
        <v>2118634.921</v>
      </c>
      <c r="C26" s="5" t="str">
        <f t="shared" si="8"/>
        <v>96.30%</v>
      </c>
      <c r="D26" t="str">
        <f t="shared" si="2"/>
        <v>0.56</v>
      </c>
      <c r="E26" t="str">
        <f t="shared" si="3"/>
        <v>1673721.587</v>
      </c>
      <c r="G26" t="str">
        <f t="shared" si="4"/>
        <v>0.71</v>
      </c>
      <c r="H26" t="str">
        <f t="shared" si="5"/>
        <v>1822026.032</v>
      </c>
      <c r="J26" t="str">
        <f t="shared" si="6"/>
        <v>no</v>
      </c>
      <c r="K26" t="str">
        <f t="shared" si="7"/>
        <v>0.86</v>
      </c>
      <c r="M26" t="s">
        <v>64</v>
      </c>
      <c r="N26" t="str">
        <f>N25*B17</f>
        <v>441746.0317</v>
      </c>
    </row>
    <row r="27" ht="15.75" customHeight="1">
      <c r="B27" t="str">
        <f t="shared" si="1"/>
        <v>2140634.921</v>
      </c>
      <c r="C27" s="5" t="str">
        <f t="shared" si="8"/>
        <v>97.30%</v>
      </c>
      <c r="D27" t="str">
        <f t="shared" si="2"/>
        <v>0.56</v>
      </c>
      <c r="E27" t="str">
        <f t="shared" si="3"/>
        <v>1691101.587</v>
      </c>
      <c r="G27" t="str">
        <f t="shared" si="4"/>
        <v>0.71</v>
      </c>
      <c r="H27" t="str">
        <f t="shared" si="5"/>
        <v>1840946.032</v>
      </c>
      <c r="J27" t="str">
        <f t="shared" si="6"/>
        <v>no</v>
      </c>
      <c r="K27" t="str">
        <f t="shared" si="7"/>
        <v>0.86</v>
      </c>
    </row>
    <row r="28" ht="15.75" customHeight="1">
      <c r="B28" t="str">
        <f t="shared" si="1"/>
        <v>2162634.921</v>
      </c>
      <c r="C28" s="5" t="str">
        <f t="shared" si="8"/>
        <v>98.30%</v>
      </c>
      <c r="D28" t="str">
        <f t="shared" si="2"/>
        <v>0.56</v>
      </c>
      <c r="E28" t="str">
        <f t="shared" si="3"/>
        <v>1708481.587</v>
      </c>
      <c r="G28" t="str">
        <f t="shared" si="4"/>
        <v>0.71</v>
      </c>
      <c r="H28" t="str">
        <f t="shared" si="5"/>
        <v>1859866.032</v>
      </c>
      <c r="J28" t="str">
        <f t="shared" si="6"/>
        <v>no</v>
      </c>
      <c r="K28" t="str">
        <f t="shared" si="7"/>
        <v>0.86</v>
      </c>
    </row>
    <row r="29" ht="15.75" customHeight="1">
      <c r="B29" t="str">
        <f t="shared" si="1"/>
        <v>2184634.921</v>
      </c>
      <c r="C29" s="5" t="str">
        <f t="shared" si="8"/>
        <v>99.30%</v>
      </c>
      <c r="D29" t="str">
        <f t="shared" si="2"/>
        <v>0.56</v>
      </c>
      <c r="E29" t="str">
        <f t="shared" si="3"/>
        <v>1725861.587</v>
      </c>
      <c r="G29" t="str">
        <f t="shared" si="4"/>
        <v>0.71</v>
      </c>
      <c r="H29" t="str">
        <f t="shared" si="5"/>
        <v>1878786.032</v>
      </c>
      <c r="J29" t="str">
        <f t="shared" si="6"/>
        <v>no</v>
      </c>
      <c r="K29" t="str">
        <f t="shared" si="7"/>
        <v>0.86</v>
      </c>
    </row>
    <row r="30" ht="15.75" customHeight="1">
      <c r="B30" t="str">
        <f t="shared" si="1"/>
        <v>2206634.921</v>
      </c>
      <c r="C30" s="5" t="str">
        <f t="shared" si="8"/>
        <v>100.30%</v>
      </c>
      <c r="D30" t="str">
        <f t="shared" si="2"/>
        <v>0.92</v>
      </c>
      <c r="E30" t="str">
        <f t="shared" si="3"/>
        <v>2537630.159</v>
      </c>
      <c r="G30" t="str">
        <f t="shared" si="4"/>
        <v>1.07</v>
      </c>
      <c r="H30" t="str">
        <f t="shared" si="5"/>
        <v>2692094.603</v>
      </c>
      <c r="J30" t="str">
        <f t="shared" si="6"/>
        <v>no</v>
      </c>
      <c r="K30" t="str">
        <f t="shared" si="7"/>
        <v>1.22</v>
      </c>
    </row>
    <row r="31" ht="15.75" customHeight="1">
      <c r="B31" t="str">
        <f t="shared" si="1"/>
        <v>2228634.921</v>
      </c>
      <c r="C31" s="5" t="str">
        <f t="shared" si="8"/>
        <v>101.30%</v>
      </c>
      <c r="D31" t="str">
        <f t="shared" si="2"/>
        <v>0.92</v>
      </c>
      <c r="E31" t="str">
        <f t="shared" si="3"/>
        <v>2562930.159</v>
      </c>
      <c r="G31" t="str">
        <f t="shared" si="4"/>
        <v>1.07</v>
      </c>
      <c r="H31" t="str">
        <f t="shared" si="5"/>
        <v>2718934.603</v>
      </c>
      <c r="J31" t="str">
        <f t="shared" si="6"/>
        <v>no</v>
      </c>
      <c r="K31" t="str">
        <f t="shared" si="7"/>
        <v>1.22</v>
      </c>
    </row>
    <row r="32" ht="15.75" customHeight="1">
      <c r="B32" t="str">
        <f t="shared" si="1"/>
        <v>2250634.921</v>
      </c>
      <c r="C32" s="5" t="str">
        <f t="shared" si="8"/>
        <v>102.30%</v>
      </c>
      <c r="D32" t="str">
        <f t="shared" si="2"/>
        <v>0.92</v>
      </c>
      <c r="E32" t="str">
        <f t="shared" si="3"/>
        <v>2588230.159</v>
      </c>
      <c r="G32" t="str">
        <f t="shared" si="4"/>
        <v>1.07</v>
      </c>
      <c r="H32" t="str">
        <f t="shared" si="5"/>
        <v>2745774.603</v>
      </c>
      <c r="J32" t="str">
        <f t="shared" si="6"/>
        <v>no</v>
      </c>
      <c r="K32" t="str">
        <f t="shared" si="7"/>
        <v>1.22</v>
      </c>
    </row>
    <row r="33" ht="15.75" customHeight="1">
      <c r="B33" t="str">
        <f t="shared" si="1"/>
        <v>2272634.921</v>
      </c>
      <c r="C33" s="5" t="str">
        <f t="shared" si="8"/>
        <v>103.30%</v>
      </c>
      <c r="D33" t="str">
        <f t="shared" si="2"/>
        <v>0.92</v>
      </c>
      <c r="E33" t="str">
        <f t="shared" si="3"/>
        <v>2613530.159</v>
      </c>
      <c r="G33" t="str">
        <f t="shared" si="4"/>
        <v>1.07</v>
      </c>
      <c r="H33" t="str">
        <f t="shared" si="5"/>
        <v>2772614.603</v>
      </c>
      <c r="J33" t="str">
        <f t="shared" si="6"/>
        <v>no</v>
      </c>
      <c r="K33" t="str">
        <f t="shared" si="7"/>
        <v>1.22</v>
      </c>
    </row>
    <row r="34" ht="15.75" customHeight="1">
      <c r="B34" t="str">
        <f t="shared" si="1"/>
        <v>2294634.921</v>
      </c>
      <c r="C34" s="5" t="str">
        <f t="shared" si="8"/>
        <v>104.30%</v>
      </c>
      <c r="D34" t="str">
        <f t="shared" si="2"/>
        <v>0.92</v>
      </c>
      <c r="E34" t="str">
        <f t="shared" si="3"/>
        <v>2638830.159</v>
      </c>
      <c r="G34" t="str">
        <f t="shared" si="4"/>
        <v>1.07</v>
      </c>
      <c r="H34" t="str">
        <f t="shared" si="5"/>
        <v>2799454.603</v>
      </c>
      <c r="J34" t="str">
        <f t="shared" si="6"/>
        <v>no</v>
      </c>
      <c r="K34" t="str">
        <f t="shared" si="7"/>
        <v>1.22</v>
      </c>
    </row>
    <row r="35" ht="15.75" customHeight="1">
      <c r="B35" t="str">
        <f t="shared" si="1"/>
        <v>2316634.921</v>
      </c>
      <c r="C35" s="5" t="str">
        <f t="shared" si="8"/>
        <v>105.30%</v>
      </c>
      <c r="D35" t="str">
        <f t="shared" si="2"/>
        <v>0.92</v>
      </c>
      <c r="E35" t="str">
        <f t="shared" si="3"/>
        <v>2664130.159</v>
      </c>
      <c r="G35" t="str">
        <f t="shared" si="4"/>
        <v>1.07</v>
      </c>
      <c r="H35" t="str">
        <f t="shared" si="5"/>
        <v>2826294.603</v>
      </c>
      <c r="J35" t="str">
        <f t="shared" si="6"/>
        <v>no</v>
      </c>
      <c r="K35" t="str">
        <f t="shared" si="7"/>
        <v>1.22</v>
      </c>
    </row>
    <row r="36" ht="15.75" customHeight="1">
      <c r="B36" t="str">
        <f t="shared" si="1"/>
        <v>2338634.921</v>
      </c>
      <c r="C36" s="5" t="str">
        <f t="shared" si="8"/>
        <v>106.30%</v>
      </c>
      <c r="D36" t="str">
        <f t="shared" si="2"/>
        <v>0.92</v>
      </c>
      <c r="E36" t="str">
        <f t="shared" si="3"/>
        <v>2689430.159</v>
      </c>
      <c r="G36" t="str">
        <f t="shared" si="4"/>
        <v>1.07</v>
      </c>
      <c r="H36" t="str">
        <f t="shared" si="5"/>
        <v>2853134.603</v>
      </c>
      <c r="J36" t="str">
        <f t="shared" si="6"/>
        <v>no</v>
      </c>
      <c r="K36" t="str">
        <f t="shared" si="7"/>
        <v>1.22</v>
      </c>
    </row>
    <row r="37" ht="15.75" customHeight="1">
      <c r="B37" t="str">
        <f t="shared" si="1"/>
        <v>2360634.921</v>
      </c>
      <c r="C37" s="5" t="str">
        <f t="shared" si="8"/>
        <v>107.30%</v>
      </c>
      <c r="D37" t="str">
        <f t="shared" si="2"/>
        <v>0.92</v>
      </c>
      <c r="E37" t="str">
        <f t="shared" si="3"/>
        <v>2714730.159</v>
      </c>
      <c r="G37" t="str">
        <f t="shared" si="4"/>
        <v>1.07</v>
      </c>
      <c r="H37" t="str">
        <f t="shared" si="5"/>
        <v>2879974.603</v>
      </c>
      <c r="J37" t="str">
        <f t="shared" si="6"/>
        <v>no</v>
      </c>
      <c r="K37" t="str">
        <f t="shared" si="7"/>
        <v>1.22</v>
      </c>
    </row>
    <row r="38" ht="15.75" customHeight="1">
      <c r="B38" t="str">
        <f t="shared" si="1"/>
        <v>2382634.921</v>
      </c>
      <c r="C38" s="5" t="str">
        <f t="shared" si="8"/>
        <v>108.30%</v>
      </c>
      <c r="D38" t="str">
        <f t="shared" si="2"/>
        <v>0.92</v>
      </c>
      <c r="E38" t="str">
        <f t="shared" si="3"/>
        <v>2740030.159</v>
      </c>
      <c r="G38" t="str">
        <f t="shared" si="4"/>
        <v>1.07</v>
      </c>
      <c r="H38" t="str">
        <f t="shared" si="5"/>
        <v>2906814.603</v>
      </c>
      <c r="J38" t="str">
        <f t="shared" si="6"/>
        <v>no</v>
      </c>
      <c r="K38" t="str">
        <f t="shared" si="7"/>
        <v>1.22</v>
      </c>
    </row>
    <row r="39" ht="15.75" customHeight="1">
      <c r="B39" t="str">
        <f t="shared" si="1"/>
        <v>2404634.921</v>
      </c>
      <c r="C39" s="5" t="str">
        <f t="shared" si="8"/>
        <v>109.30%</v>
      </c>
      <c r="D39" t="str">
        <f t="shared" si="2"/>
        <v>0.92</v>
      </c>
      <c r="E39" t="str">
        <f t="shared" si="3"/>
        <v>2765330.159</v>
      </c>
      <c r="G39" t="str">
        <f t="shared" si="4"/>
        <v>1.07</v>
      </c>
      <c r="H39" t="str">
        <f t="shared" si="5"/>
        <v>2933654.603</v>
      </c>
      <c r="J39" t="str">
        <f t="shared" si="6"/>
        <v>no</v>
      </c>
      <c r="K39" t="str">
        <f t="shared" si="7"/>
        <v>1.22</v>
      </c>
    </row>
    <row r="40" ht="15.75" customHeight="1">
      <c r="B40" t="str">
        <f t="shared" si="1"/>
        <v>2426634.921</v>
      </c>
      <c r="C40" s="5" t="str">
        <f t="shared" si="8"/>
        <v>110.30%</v>
      </c>
      <c r="D40" t="str">
        <f t="shared" si="2"/>
        <v>0.92</v>
      </c>
      <c r="E40" t="str">
        <f t="shared" si="3"/>
        <v>2790630.159</v>
      </c>
      <c r="G40" t="str">
        <f t="shared" si="4"/>
        <v>1.07</v>
      </c>
      <c r="H40" t="str">
        <f t="shared" si="5"/>
        <v>2960494.603</v>
      </c>
      <c r="J40" t="str">
        <f t="shared" si="6"/>
        <v>no</v>
      </c>
      <c r="K40" t="str">
        <f t="shared" si="7"/>
        <v>1.22</v>
      </c>
    </row>
    <row r="41" ht="15.75" customHeight="1">
      <c r="B41" t="str">
        <f t="shared" si="1"/>
        <v>2448634.921</v>
      </c>
      <c r="C41" s="5" t="str">
        <f t="shared" si="8"/>
        <v>111.30%</v>
      </c>
      <c r="D41" t="str">
        <f t="shared" si="2"/>
        <v>0.92</v>
      </c>
      <c r="E41" t="str">
        <f t="shared" si="3"/>
        <v>2815930.159</v>
      </c>
      <c r="G41" t="str">
        <f t="shared" si="4"/>
        <v>1.07</v>
      </c>
      <c r="H41" t="str">
        <f t="shared" si="5"/>
        <v>2987334.603</v>
      </c>
      <c r="J41" t="str">
        <f t="shared" si="6"/>
        <v>no</v>
      </c>
      <c r="K41" t="str">
        <f t="shared" si="7"/>
        <v>1.22</v>
      </c>
    </row>
    <row r="42" ht="15.75" customHeight="1">
      <c r="B42" t="str">
        <f t="shared" si="1"/>
        <v>2470634.921</v>
      </c>
      <c r="C42" s="5" t="str">
        <f t="shared" si="8"/>
        <v>112.30%</v>
      </c>
      <c r="D42" t="str">
        <f t="shared" si="2"/>
        <v>0.92</v>
      </c>
      <c r="E42" t="str">
        <f t="shared" si="3"/>
        <v>2841230.159</v>
      </c>
      <c r="G42" t="str">
        <f t="shared" si="4"/>
        <v>1.07</v>
      </c>
      <c r="H42" t="str">
        <f t="shared" si="5"/>
        <v>3014174.603</v>
      </c>
      <c r="J42" t="str">
        <f t="shared" si="6"/>
        <v>no</v>
      </c>
      <c r="K42" t="str">
        <f t="shared" si="7"/>
        <v>1.22</v>
      </c>
    </row>
    <row r="43" ht="15.75" customHeight="1">
      <c r="B43" t="str">
        <f t="shared" si="1"/>
        <v>2492634.921</v>
      </c>
      <c r="C43" s="5" t="str">
        <f t="shared" si="8"/>
        <v>113.30%</v>
      </c>
      <c r="D43" t="str">
        <f t="shared" si="2"/>
        <v>0.92</v>
      </c>
      <c r="E43" t="str">
        <f t="shared" si="3"/>
        <v>2866530.159</v>
      </c>
      <c r="G43" t="str">
        <f t="shared" si="4"/>
        <v>1.07</v>
      </c>
      <c r="H43" t="str">
        <f t="shared" si="5"/>
        <v>3041014.603</v>
      </c>
      <c r="J43" t="str">
        <f t="shared" si="6"/>
        <v>no</v>
      </c>
      <c r="K43" t="str">
        <f t="shared" si="7"/>
        <v>1.22</v>
      </c>
    </row>
    <row r="44" ht="15.75" customHeight="1">
      <c r="B44" t="str">
        <f t="shared" si="1"/>
        <v>2514634.921</v>
      </c>
      <c r="C44" s="5" t="str">
        <f t="shared" si="8"/>
        <v>114.30%</v>
      </c>
      <c r="D44" t="str">
        <f t="shared" si="2"/>
        <v>0.92</v>
      </c>
      <c r="E44" t="str">
        <f t="shared" si="3"/>
        <v>2891830.159</v>
      </c>
      <c r="G44" t="str">
        <f t="shared" si="4"/>
        <v>1.07</v>
      </c>
      <c r="H44" t="str">
        <f t="shared" si="5"/>
        <v>3067854.603</v>
      </c>
      <c r="J44" t="str">
        <f t="shared" si="6"/>
        <v>no</v>
      </c>
      <c r="K44" t="str">
        <f t="shared" si="7"/>
        <v>1.22</v>
      </c>
    </row>
    <row r="45" ht="15.75" customHeight="1">
      <c r="B45" t="str">
        <f t="shared" si="1"/>
        <v>2536634.921</v>
      </c>
      <c r="C45" s="5" t="str">
        <f t="shared" si="8"/>
        <v>115.30%</v>
      </c>
      <c r="D45" t="str">
        <f t="shared" si="2"/>
        <v>0.92</v>
      </c>
      <c r="E45" t="str">
        <f t="shared" si="3"/>
        <v>2917130.159</v>
      </c>
      <c r="G45" t="str">
        <f t="shared" si="4"/>
        <v>1.07</v>
      </c>
      <c r="H45" t="str">
        <f t="shared" si="5"/>
        <v>3094694.603</v>
      </c>
      <c r="J45" t="str">
        <f t="shared" si="6"/>
        <v>no</v>
      </c>
      <c r="K45" t="str">
        <f t="shared" si="7"/>
        <v>1.22</v>
      </c>
    </row>
    <row r="46" ht="15.75" customHeight="1">
      <c r="B46" t="str">
        <f t="shared" si="1"/>
        <v>2558634.921</v>
      </c>
      <c r="C46" s="5" t="str">
        <f t="shared" si="8"/>
        <v>116.30%</v>
      </c>
      <c r="D46" t="str">
        <f t="shared" si="2"/>
        <v>0.92</v>
      </c>
      <c r="E46" t="str">
        <f t="shared" si="3"/>
        <v>2942430.159</v>
      </c>
      <c r="G46" t="str">
        <f t="shared" si="4"/>
        <v>1.07</v>
      </c>
      <c r="H46" t="str">
        <f t="shared" si="5"/>
        <v>3121534.603</v>
      </c>
      <c r="J46" t="str">
        <f t="shared" si="6"/>
        <v>no</v>
      </c>
      <c r="K46" t="str">
        <f t="shared" si="7"/>
        <v>1.22</v>
      </c>
    </row>
    <row r="47" ht="15.75" customHeight="1">
      <c r="B47" t="str">
        <f t="shared" si="1"/>
        <v>2580634.921</v>
      </c>
      <c r="C47" s="5" t="str">
        <f t="shared" si="8"/>
        <v>117.30%</v>
      </c>
      <c r="D47" t="str">
        <f t="shared" si="2"/>
        <v>0.92</v>
      </c>
      <c r="E47" t="str">
        <f t="shared" si="3"/>
        <v>2967730.159</v>
      </c>
      <c r="G47" t="str">
        <f t="shared" si="4"/>
        <v>1.07</v>
      </c>
      <c r="H47" t="str">
        <f t="shared" si="5"/>
        <v>3148374.603</v>
      </c>
      <c r="J47" t="str">
        <f t="shared" si="6"/>
        <v>no</v>
      </c>
      <c r="K47" t="str">
        <f t="shared" si="7"/>
        <v>1.22</v>
      </c>
    </row>
    <row r="48" ht="15.75" customHeight="1">
      <c r="B48" t="str">
        <f t="shared" si="1"/>
        <v>2602634.921</v>
      </c>
      <c r="C48" s="5" t="str">
        <f t="shared" si="8"/>
        <v>118.30%</v>
      </c>
      <c r="D48" t="str">
        <f t="shared" si="2"/>
        <v>0.92</v>
      </c>
      <c r="E48" t="str">
        <f t="shared" si="3"/>
        <v>2993030.159</v>
      </c>
      <c r="G48" t="str">
        <f t="shared" si="4"/>
        <v>1.07</v>
      </c>
      <c r="H48" t="str">
        <f t="shared" si="5"/>
        <v>3175214.603</v>
      </c>
      <c r="J48" t="str">
        <f t="shared" si="6"/>
        <v>no</v>
      </c>
      <c r="K48" t="str">
        <f t="shared" si="7"/>
        <v>1.22</v>
      </c>
    </row>
    <row r="49" ht="15.75" customHeight="1">
      <c r="B49" t="str">
        <f t="shared" si="1"/>
        <v>2624634.921</v>
      </c>
      <c r="C49" s="5" t="str">
        <f t="shared" si="8"/>
        <v>119.30%</v>
      </c>
      <c r="D49" t="str">
        <f t="shared" si="2"/>
        <v>0.92</v>
      </c>
      <c r="E49" t="str">
        <f t="shared" si="3"/>
        <v>3018330.159</v>
      </c>
      <c r="G49" t="str">
        <f t="shared" si="4"/>
        <v>1.07</v>
      </c>
      <c r="H49" t="str">
        <f t="shared" si="5"/>
        <v>3202054.603</v>
      </c>
      <c r="J49" t="str">
        <f t="shared" si="6"/>
        <v>no</v>
      </c>
      <c r="K49" t="str">
        <f t="shared" si="7"/>
        <v>1.22</v>
      </c>
    </row>
    <row r="50" ht="15.75" customHeight="1">
      <c r="B50" t="str">
        <f t="shared" si="1"/>
        <v>2646634.921</v>
      </c>
      <c r="C50" s="5" t="str">
        <f t="shared" si="8"/>
        <v>120.30%</v>
      </c>
      <c r="D50" t="str">
        <f t="shared" si="2"/>
        <v>0.92</v>
      </c>
      <c r="E50" t="str">
        <f t="shared" si="3"/>
        <v>3043630.159</v>
      </c>
      <c r="G50" t="str">
        <f t="shared" si="4"/>
        <v>1.07</v>
      </c>
      <c r="H50" t="str">
        <f t="shared" si="5"/>
        <v>3228894.603</v>
      </c>
      <c r="J50" t="str">
        <f t="shared" si="6"/>
        <v>no</v>
      </c>
      <c r="K50" t="str">
        <f t="shared" si="7"/>
        <v>1.22</v>
      </c>
    </row>
    <row r="51" ht="15.75" customHeight="1">
      <c r="B51" t="str">
        <f t="shared" si="1"/>
        <v>2668634.921</v>
      </c>
      <c r="C51" s="5" t="str">
        <f t="shared" si="8"/>
        <v>121.30%</v>
      </c>
      <c r="D51" t="str">
        <f t="shared" si="2"/>
        <v>0.92</v>
      </c>
      <c r="E51" t="str">
        <f t="shared" si="3"/>
        <v>3068930.159</v>
      </c>
      <c r="G51" t="str">
        <f t="shared" si="4"/>
        <v>1.07</v>
      </c>
      <c r="H51" t="str">
        <f t="shared" si="5"/>
        <v>3255734.603</v>
      </c>
      <c r="J51" t="str">
        <f t="shared" si="6"/>
        <v>no</v>
      </c>
      <c r="K51" t="str">
        <f t="shared" si="7"/>
        <v>1.22</v>
      </c>
    </row>
    <row r="52" ht="15.75" customHeight="1">
      <c r="B52" t="str">
        <f t="shared" si="1"/>
        <v>2690634.921</v>
      </c>
      <c r="C52" s="5" t="str">
        <f t="shared" si="8"/>
        <v>122.30%</v>
      </c>
      <c r="D52" t="str">
        <f t="shared" si="2"/>
        <v>0.92</v>
      </c>
      <c r="E52" t="str">
        <f t="shared" si="3"/>
        <v>3094230.159</v>
      </c>
      <c r="G52" t="str">
        <f t="shared" si="4"/>
        <v>1.07</v>
      </c>
      <c r="H52" t="str">
        <f t="shared" si="5"/>
        <v>3282574.603</v>
      </c>
      <c r="J52" t="str">
        <f t="shared" si="6"/>
        <v>no</v>
      </c>
      <c r="K52" t="str">
        <f t="shared" si="7"/>
        <v>1.22</v>
      </c>
    </row>
    <row r="53" ht="15.75" customHeight="1">
      <c r="B53" t="str">
        <f t="shared" si="1"/>
        <v>2712634.921</v>
      </c>
      <c r="C53" s="5" t="str">
        <f t="shared" si="8"/>
        <v>123.30%</v>
      </c>
      <c r="D53" t="str">
        <f t="shared" si="2"/>
        <v>0.92</v>
      </c>
      <c r="E53" t="str">
        <f t="shared" si="3"/>
        <v>3119530.159</v>
      </c>
      <c r="G53" t="str">
        <f t="shared" si="4"/>
        <v>1.07</v>
      </c>
      <c r="H53" t="str">
        <f t="shared" si="5"/>
        <v>3309414.603</v>
      </c>
      <c r="J53" t="str">
        <f t="shared" si="6"/>
        <v>no</v>
      </c>
      <c r="K53" t="str">
        <f t="shared" si="7"/>
        <v>1.22</v>
      </c>
    </row>
    <row r="54" ht="15.75" customHeight="1">
      <c r="B54" t="str">
        <f t="shared" si="1"/>
        <v>2734634.921</v>
      </c>
      <c r="C54" s="5" t="str">
        <f t="shared" si="8"/>
        <v>124.30%</v>
      </c>
      <c r="D54" t="str">
        <f t="shared" si="2"/>
        <v>0.92</v>
      </c>
      <c r="E54" t="str">
        <f t="shared" si="3"/>
        <v>3144830.159</v>
      </c>
      <c r="G54" t="str">
        <f t="shared" si="4"/>
        <v>1.07</v>
      </c>
      <c r="H54" t="str">
        <f t="shared" si="5"/>
        <v>3336254.603</v>
      </c>
      <c r="J54" t="str">
        <f t="shared" si="6"/>
        <v>no</v>
      </c>
      <c r="K54" t="str">
        <f t="shared" si="7"/>
        <v>1.22</v>
      </c>
    </row>
    <row r="55" ht="15.75" customHeight="1">
      <c r="B55" t="str">
        <f t="shared" si="1"/>
        <v>2756634.921</v>
      </c>
      <c r="C55" s="5" t="str">
        <f t="shared" si="8"/>
        <v>125.30%</v>
      </c>
      <c r="D55" t="str">
        <f t="shared" si="2"/>
        <v>1.08</v>
      </c>
      <c r="E55" t="str">
        <f t="shared" si="3"/>
        <v>3611191.746</v>
      </c>
      <c r="G55" t="str">
        <f t="shared" si="4"/>
        <v>1.23</v>
      </c>
      <c r="H55" t="str">
        <f t="shared" si="5"/>
        <v>3804156.19</v>
      </c>
      <c r="J55" t="str">
        <f t="shared" si="6"/>
        <v>no</v>
      </c>
      <c r="K55" t="str">
        <f t="shared" si="7"/>
        <v>1.38</v>
      </c>
    </row>
    <row r="56" ht="15.75" customHeight="1">
      <c r="B56" t="str">
        <f t="shared" si="1"/>
        <v>2778634.921</v>
      </c>
      <c r="C56" s="5" t="str">
        <f t="shared" si="8"/>
        <v>126.30%</v>
      </c>
      <c r="D56" t="str">
        <f t="shared" si="2"/>
        <v>1.08</v>
      </c>
      <c r="E56" t="str">
        <f t="shared" si="3"/>
        <v>3640011.746</v>
      </c>
      <c r="G56" t="str">
        <f t="shared" si="4"/>
        <v>1.23</v>
      </c>
      <c r="H56" t="str">
        <f t="shared" si="5"/>
        <v>3834516.19</v>
      </c>
      <c r="J56" t="str">
        <f t="shared" si="6"/>
        <v>no</v>
      </c>
      <c r="K56" t="str">
        <f t="shared" si="7"/>
        <v>1.38</v>
      </c>
    </row>
    <row r="57" ht="15.75" customHeight="1">
      <c r="B57" t="str">
        <f t="shared" si="1"/>
        <v>2800634.921</v>
      </c>
      <c r="C57" s="5" t="str">
        <f t="shared" si="8"/>
        <v>127.30%</v>
      </c>
      <c r="D57" t="str">
        <f t="shared" si="2"/>
        <v>1.08</v>
      </c>
      <c r="E57" t="str">
        <f t="shared" si="3"/>
        <v>3668831.746</v>
      </c>
      <c r="G57" t="str">
        <f t="shared" si="4"/>
        <v>1.23</v>
      </c>
      <c r="H57" t="str">
        <f t="shared" si="5"/>
        <v>3864876.19</v>
      </c>
      <c r="J57" t="str">
        <f t="shared" si="6"/>
        <v>no</v>
      </c>
      <c r="K57" t="str">
        <f t="shared" si="7"/>
        <v>1.38</v>
      </c>
    </row>
    <row r="58" ht="15.75" customHeight="1">
      <c r="B58" t="str">
        <f t="shared" si="1"/>
        <v>2822634.921</v>
      </c>
      <c r="C58" s="5" t="str">
        <f t="shared" si="8"/>
        <v>128.30%</v>
      </c>
      <c r="D58" t="str">
        <f t="shared" si="2"/>
        <v>1.08</v>
      </c>
      <c r="E58" t="str">
        <f t="shared" si="3"/>
        <v>3697651.746</v>
      </c>
      <c r="G58" t="str">
        <f t="shared" si="4"/>
        <v>1.23</v>
      </c>
      <c r="H58" t="str">
        <f t="shared" si="5"/>
        <v>3895236.19</v>
      </c>
      <c r="J58" t="str">
        <f t="shared" si="6"/>
        <v>no</v>
      </c>
      <c r="K58" t="str">
        <f t="shared" si="7"/>
        <v>1.38</v>
      </c>
    </row>
    <row r="59" ht="15.75" customHeight="1">
      <c r="B59" t="str">
        <f t="shared" si="1"/>
        <v>2844634.921</v>
      </c>
      <c r="C59" s="5" t="str">
        <f t="shared" si="8"/>
        <v>129.30%</v>
      </c>
      <c r="D59" t="str">
        <f t="shared" si="2"/>
        <v>1.08</v>
      </c>
      <c r="E59" t="str">
        <f t="shared" si="3"/>
        <v>3726471.746</v>
      </c>
      <c r="G59" t="str">
        <f t="shared" si="4"/>
        <v>1.23</v>
      </c>
      <c r="H59" t="str">
        <f t="shared" si="5"/>
        <v>3925596.19</v>
      </c>
      <c r="J59" t="str">
        <f t="shared" si="6"/>
        <v>no</v>
      </c>
      <c r="K59" t="str">
        <f t="shared" si="7"/>
        <v>1.38</v>
      </c>
    </row>
    <row r="60" ht="15.75" customHeight="1">
      <c r="B60" t="str">
        <f t="shared" si="1"/>
        <v>2866634.921</v>
      </c>
      <c r="C60" s="5" t="str">
        <f t="shared" si="8"/>
        <v>130.30%</v>
      </c>
      <c r="D60" t="str">
        <f t="shared" si="2"/>
        <v>1.08</v>
      </c>
      <c r="E60" t="str">
        <f t="shared" si="3"/>
        <v>3755291.746</v>
      </c>
      <c r="G60" t="str">
        <f t="shared" si="4"/>
        <v>1.23</v>
      </c>
      <c r="H60" t="str">
        <f t="shared" si="5"/>
        <v>3955956.19</v>
      </c>
      <c r="J60" t="str">
        <f t="shared" si="6"/>
        <v>no</v>
      </c>
      <c r="K60" t="str">
        <f t="shared" si="7"/>
        <v>1.38</v>
      </c>
    </row>
    <row r="61" ht="15.75" customHeight="1">
      <c r="B61" t="str">
        <f t="shared" si="1"/>
        <v>2888634.921</v>
      </c>
      <c r="C61" s="5" t="str">
        <f t="shared" si="8"/>
        <v>131.30%</v>
      </c>
      <c r="D61" t="str">
        <f t="shared" si="2"/>
        <v>1.08</v>
      </c>
      <c r="E61" t="str">
        <f t="shared" si="3"/>
        <v>3784111.746</v>
      </c>
      <c r="G61" t="str">
        <f t="shared" si="4"/>
        <v>1.23</v>
      </c>
      <c r="H61" t="str">
        <f t="shared" si="5"/>
        <v>3986316.19</v>
      </c>
      <c r="J61" t="str">
        <f t="shared" si="6"/>
        <v>no</v>
      </c>
      <c r="K61" t="str">
        <f t="shared" si="7"/>
        <v>1.38</v>
      </c>
    </row>
    <row r="62" ht="15.75" customHeight="1">
      <c r="B62" t="str">
        <f t="shared" si="1"/>
        <v>2910634.921</v>
      </c>
      <c r="C62" s="5" t="str">
        <f t="shared" si="8"/>
        <v>132.30%</v>
      </c>
      <c r="D62" t="str">
        <f t="shared" si="2"/>
        <v>1.08</v>
      </c>
      <c r="E62" t="str">
        <f t="shared" si="3"/>
        <v>3812931.746</v>
      </c>
      <c r="G62" t="str">
        <f t="shared" si="4"/>
        <v>1.23</v>
      </c>
      <c r="H62" t="str">
        <f t="shared" si="5"/>
        <v>4016676.19</v>
      </c>
      <c r="J62" t="str">
        <f t="shared" si="6"/>
        <v>no</v>
      </c>
      <c r="K62" t="str">
        <f t="shared" si="7"/>
        <v>1.38</v>
      </c>
    </row>
    <row r="63" ht="15.75" customHeight="1">
      <c r="B63" t="str">
        <f t="shared" si="1"/>
        <v>2932634.921</v>
      </c>
      <c r="C63" s="5" t="str">
        <f t="shared" si="8"/>
        <v>133.30%</v>
      </c>
      <c r="D63" t="str">
        <f t="shared" si="2"/>
        <v>1.08</v>
      </c>
      <c r="E63" t="str">
        <f t="shared" si="3"/>
        <v>3841751.746</v>
      </c>
      <c r="G63" t="str">
        <f t="shared" si="4"/>
        <v>1.23</v>
      </c>
      <c r="H63" t="str">
        <f t="shared" si="5"/>
        <v>4047036.19</v>
      </c>
      <c r="J63" t="str">
        <f t="shared" si="6"/>
        <v>no</v>
      </c>
      <c r="K63" t="str">
        <f t="shared" si="7"/>
        <v>1.38</v>
      </c>
    </row>
    <row r="64" ht="15.75" customHeight="1">
      <c r="B64" t="str">
        <f t="shared" si="1"/>
        <v>2954634.921</v>
      </c>
      <c r="C64" s="5" t="str">
        <f t="shared" si="8"/>
        <v>134.30%</v>
      </c>
      <c r="D64" t="str">
        <f t="shared" si="2"/>
        <v>1.08</v>
      </c>
      <c r="E64" t="str">
        <f t="shared" si="3"/>
        <v>3870571.746</v>
      </c>
      <c r="G64" t="str">
        <f t="shared" si="4"/>
        <v>1.23</v>
      </c>
      <c r="H64" t="str">
        <f t="shared" si="5"/>
        <v>4077396.19</v>
      </c>
      <c r="J64" t="str">
        <f t="shared" si="6"/>
        <v>no</v>
      </c>
      <c r="K64" t="str">
        <f t="shared" si="7"/>
        <v>1.38</v>
      </c>
    </row>
    <row r="65" ht="15.75" customHeight="1">
      <c r="B65" t="str">
        <f t="shared" si="1"/>
        <v>2976634.921</v>
      </c>
      <c r="C65" s="5" t="str">
        <f t="shared" si="8"/>
        <v>135.30%</v>
      </c>
      <c r="D65" t="str">
        <f t="shared" si="2"/>
        <v>1.08</v>
      </c>
      <c r="E65" t="str">
        <f t="shared" si="3"/>
        <v>3899391.746</v>
      </c>
      <c r="G65" t="str">
        <f t="shared" si="4"/>
        <v>1.23</v>
      </c>
      <c r="H65" t="str">
        <f t="shared" si="5"/>
        <v>4107756.19</v>
      </c>
      <c r="J65" t="str">
        <f t="shared" si="6"/>
        <v>no</v>
      </c>
      <c r="K65" t="str">
        <f t="shared" si="7"/>
        <v>1.38</v>
      </c>
    </row>
    <row r="66" ht="15.75" customHeight="1">
      <c r="B66" t="str">
        <f t="shared" si="1"/>
        <v>2998634.921</v>
      </c>
      <c r="C66" s="5" t="str">
        <f t="shared" si="8"/>
        <v>136.30%</v>
      </c>
      <c r="D66" t="str">
        <f t="shared" si="2"/>
        <v>1.08</v>
      </c>
      <c r="E66" t="str">
        <f t="shared" si="3"/>
        <v>3928211.746</v>
      </c>
      <c r="G66" t="str">
        <f t="shared" si="4"/>
        <v>1.23</v>
      </c>
      <c r="H66" t="str">
        <f t="shared" si="5"/>
        <v>4138116.19</v>
      </c>
      <c r="J66" t="str">
        <f t="shared" si="6"/>
        <v>no</v>
      </c>
      <c r="K66" t="str">
        <f t="shared" si="7"/>
        <v>1.38</v>
      </c>
    </row>
    <row r="67" ht="15.75" customHeight="1">
      <c r="B67" t="str">
        <f t="shared" si="1"/>
        <v>3020634.921</v>
      </c>
      <c r="C67" s="5" t="str">
        <f t="shared" si="8"/>
        <v>137.30%</v>
      </c>
      <c r="D67" t="str">
        <f t="shared" si="2"/>
        <v>1.08</v>
      </c>
      <c r="E67" t="str">
        <f t="shared" si="3"/>
        <v>3957031.746</v>
      </c>
      <c r="G67" t="str">
        <f t="shared" si="4"/>
        <v>1.23</v>
      </c>
      <c r="H67" t="str">
        <f t="shared" si="5"/>
        <v>4168476.19</v>
      </c>
      <c r="J67" t="str">
        <f t="shared" si="6"/>
        <v>no</v>
      </c>
      <c r="K67" t="str">
        <f t="shared" si="7"/>
        <v>1.38</v>
      </c>
    </row>
    <row r="68" ht="15.75" customHeight="1">
      <c r="B68" t="str">
        <f t="shared" si="1"/>
        <v>3042634.921</v>
      </c>
      <c r="C68" s="5" t="str">
        <f t="shared" si="8"/>
        <v>138.30%</v>
      </c>
      <c r="D68" t="str">
        <f t="shared" si="2"/>
        <v>1.08</v>
      </c>
      <c r="E68" t="str">
        <f t="shared" si="3"/>
        <v>3985851.746</v>
      </c>
      <c r="G68" t="str">
        <f t="shared" si="4"/>
        <v>1.23</v>
      </c>
      <c r="H68" t="str">
        <f t="shared" si="5"/>
        <v>4198836.19</v>
      </c>
      <c r="J68" t="str">
        <f t="shared" si="6"/>
        <v>no</v>
      </c>
      <c r="K68" t="str">
        <f t="shared" si="7"/>
        <v>1.38</v>
      </c>
    </row>
    <row r="69" ht="15.75" customHeight="1">
      <c r="B69" t="str">
        <f t="shared" si="1"/>
        <v>3064634.921</v>
      </c>
      <c r="C69" s="5" t="str">
        <f t="shared" si="8"/>
        <v>139.30%</v>
      </c>
      <c r="D69" t="str">
        <f t="shared" si="2"/>
        <v>1.08</v>
      </c>
      <c r="E69" t="str">
        <f t="shared" si="3"/>
        <v>4014671.746</v>
      </c>
      <c r="G69" t="str">
        <f t="shared" si="4"/>
        <v>1.23</v>
      </c>
      <c r="H69" t="str">
        <f t="shared" si="5"/>
        <v>4229196.19</v>
      </c>
      <c r="J69" t="str">
        <f t="shared" si="6"/>
        <v>si</v>
      </c>
      <c r="K69" t="str">
        <f t="shared" si="7"/>
        <v>1.38</v>
      </c>
    </row>
    <row r="70" ht="15.75" customHeight="1">
      <c r="B70" t="str">
        <f t="shared" si="1"/>
        <v>3086634.921</v>
      </c>
      <c r="C70" s="5" t="str">
        <f t="shared" si="8"/>
        <v>140.30%</v>
      </c>
      <c r="D70" t="str">
        <f t="shared" si="2"/>
        <v>1.08</v>
      </c>
      <c r="E70" t="str">
        <f t="shared" si="3"/>
        <v>4043491.746</v>
      </c>
      <c r="G70" t="str">
        <f t="shared" si="4"/>
        <v>1.23</v>
      </c>
      <c r="H70" t="str">
        <f t="shared" si="5"/>
        <v>4259556.19</v>
      </c>
      <c r="J70" t="str">
        <f t="shared" si="6"/>
        <v>si</v>
      </c>
      <c r="K70" t="str">
        <f t="shared" si="7"/>
        <v>1.38</v>
      </c>
    </row>
    <row r="71" ht="15.75" customHeight="1">
      <c r="B71" t="str">
        <f t="shared" si="1"/>
        <v>3108634.921</v>
      </c>
      <c r="C71" s="5" t="str">
        <f t="shared" si="8"/>
        <v>141.30%</v>
      </c>
      <c r="D71" t="str">
        <f t="shared" si="2"/>
        <v>1.08</v>
      </c>
      <c r="E71" t="str">
        <f t="shared" si="3"/>
        <v>4072311.746</v>
      </c>
      <c r="G71" t="str">
        <f t="shared" si="4"/>
        <v>1.23</v>
      </c>
      <c r="H71" t="str">
        <f t="shared" si="5"/>
        <v>4289916.19</v>
      </c>
      <c r="J71" t="str">
        <f t="shared" si="6"/>
        <v>si</v>
      </c>
      <c r="K71" t="str">
        <f t="shared" si="7"/>
        <v>1.38</v>
      </c>
    </row>
    <row r="72" ht="15.75" customHeight="1">
      <c r="B72" t="str">
        <f t="shared" si="1"/>
        <v>3130634.921</v>
      </c>
      <c r="C72" s="5" t="str">
        <f t="shared" si="8"/>
        <v>142.30%</v>
      </c>
      <c r="D72" t="str">
        <f t="shared" si="2"/>
        <v>1.08</v>
      </c>
      <c r="E72" t="str">
        <f t="shared" si="3"/>
        <v>4101131.746</v>
      </c>
      <c r="G72" t="str">
        <f t="shared" si="4"/>
        <v>1.23</v>
      </c>
      <c r="H72" t="str">
        <f t="shared" si="5"/>
        <v>4320276.19</v>
      </c>
      <c r="J72" t="str">
        <f t="shared" si="6"/>
        <v>si</v>
      </c>
      <c r="K72" t="str">
        <f t="shared" si="7"/>
        <v>1.38</v>
      </c>
    </row>
    <row r="73" ht="15.75" customHeight="1">
      <c r="B73" t="str">
        <f t="shared" si="1"/>
        <v>3152634.921</v>
      </c>
      <c r="C73" s="5" t="str">
        <f t="shared" si="8"/>
        <v>143.30%</v>
      </c>
      <c r="D73" t="str">
        <f t="shared" si="2"/>
        <v>1.08</v>
      </c>
      <c r="E73" t="str">
        <f t="shared" si="3"/>
        <v>4129951.746</v>
      </c>
      <c r="G73" t="str">
        <f t="shared" si="4"/>
        <v>1.23</v>
      </c>
      <c r="H73" t="str">
        <f t="shared" si="5"/>
        <v>4350636.19</v>
      </c>
      <c r="J73" t="str">
        <f t="shared" si="6"/>
        <v>si</v>
      </c>
      <c r="K73" t="str">
        <f t="shared" si="7"/>
        <v>1.38</v>
      </c>
    </row>
    <row r="74" ht="15.75" customHeight="1">
      <c r="B74" t="str">
        <f t="shared" si="1"/>
        <v>3174634.921</v>
      </c>
      <c r="C74" s="5" t="str">
        <f t="shared" si="8"/>
        <v>144.30%</v>
      </c>
      <c r="D74" t="str">
        <f t="shared" si="2"/>
        <v>1.08</v>
      </c>
      <c r="E74" t="str">
        <f t="shared" si="3"/>
        <v>4158771.746</v>
      </c>
      <c r="G74" t="str">
        <f t="shared" si="4"/>
        <v>1.23</v>
      </c>
      <c r="H74" t="str">
        <f t="shared" si="5"/>
        <v>4380996.19</v>
      </c>
      <c r="J74" t="str">
        <f t="shared" si="6"/>
        <v>si</v>
      </c>
      <c r="K74" t="str">
        <f t="shared" si="7"/>
        <v>1.38</v>
      </c>
    </row>
    <row r="75" ht="15.75" customHeight="1">
      <c r="B75" t="str">
        <f t="shared" si="1"/>
        <v>3196634.921</v>
      </c>
      <c r="C75" s="5" t="str">
        <f t="shared" si="8"/>
        <v>145.30%</v>
      </c>
      <c r="D75" t="str">
        <f t="shared" si="2"/>
        <v>1.08</v>
      </c>
      <c r="E75" t="str">
        <f t="shared" si="3"/>
        <v>4187591.746</v>
      </c>
      <c r="G75" t="str">
        <f t="shared" si="4"/>
        <v>1.23</v>
      </c>
      <c r="H75" t="str">
        <f t="shared" si="5"/>
        <v>4411356.19</v>
      </c>
      <c r="J75" t="str">
        <f t="shared" si="6"/>
        <v>si</v>
      </c>
      <c r="K75" t="str">
        <f t="shared" si="7"/>
        <v>1.38</v>
      </c>
    </row>
    <row r="76" ht="15.75" customHeight="1">
      <c r="B76" t="str">
        <f t="shared" si="1"/>
        <v>3218634.921</v>
      </c>
      <c r="C76" s="5" t="str">
        <f t="shared" si="8"/>
        <v>146.30%</v>
      </c>
      <c r="D76" t="str">
        <f t="shared" si="2"/>
        <v>1.08</v>
      </c>
      <c r="E76" t="str">
        <f t="shared" si="3"/>
        <v>4216411.746</v>
      </c>
      <c r="G76" t="str">
        <f t="shared" si="4"/>
        <v>1.23</v>
      </c>
      <c r="H76" t="str">
        <f t="shared" si="5"/>
        <v>4441716.19</v>
      </c>
      <c r="J76" t="str">
        <f t="shared" si="6"/>
        <v>si</v>
      </c>
      <c r="K76" t="str">
        <f t="shared" si="7"/>
        <v>1.38</v>
      </c>
    </row>
    <row r="77" ht="15.75" customHeight="1">
      <c r="B77" t="str">
        <f t="shared" si="1"/>
        <v>3240634.921</v>
      </c>
      <c r="C77" s="5" t="str">
        <f t="shared" si="8"/>
        <v>147.30%</v>
      </c>
      <c r="D77" t="str">
        <f t="shared" si="2"/>
        <v>1.08</v>
      </c>
      <c r="E77" t="str">
        <f t="shared" si="3"/>
        <v>4245231.746</v>
      </c>
      <c r="G77" t="str">
        <f t="shared" si="4"/>
        <v>1.23</v>
      </c>
      <c r="H77" t="str">
        <f t="shared" si="5"/>
        <v>4472076.19</v>
      </c>
      <c r="J77" t="str">
        <f t="shared" si="6"/>
        <v>si</v>
      </c>
      <c r="K77" t="str">
        <f t="shared" si="7"/>
        <v>1.38</v>
      </c>
    </row>
    <row r="78" ht="15.75" customHeight="1">
      <c r="B78" t="str">
        <f t="shared" si="1"/>
        <v>3262634.921</v>
      </c>
      <c r="C78" s="5" t="str">
        <f t="shared" si="8"/>
        <v>148.30%</v>
      </c>
      <c r="D78" t="str">
        <f t="shared" si="2"/>
        <v>1.08</v>
      </c>
      <c r="E78" t="str">
        <f t="shared" si="3"/>
        <v>4274051.746</v>
      </c>
      <c r="G78" t="str">
        <f t="shared" si="4"/>
        <v>1.23</v>
      </c>
      <c r="H78" t="str">
        <f t="shared" si="5"/>
        <v>4502436.19</v>
      </c>
      <c r="J78" t="str">
        <f t="shared" si="6"/>
        <v>si</v>
      </c>
      <c r="K78" t="str">
        <f t="shared" si="7"/>
        <v>1.38</v>
      </c>
    </row>
    <row r="79" ht="15.75" customHeight="1">
      <c r="B79" t="str">
        <f t="shared" si="1"/>
        <v>3284634.921</v>
      </c>
      <c r="C79" s="5" t="str">
        <f t="shared" si="8"/>
        <v>149.30%</v>
      </c>
      <c r="D79" t="str">
        <f t="shared" si="2"/>
        <v>1.08</v>
      </c>
      <c r="E79" t="str">
        <f t="shared" si="3"/>
        <v>4302871.746</v>
      </c>
      <c r="G79" t="str">
        <f t="shared" si="4"/>
        <v>1.23</v>
      </c>
      <c r="H79" t="str">
        <f t="shared" si="5"/>
        <v>4532796.19</v>
      </c>
      <c r="J79" t="str">
        <f t="shared" si="6"/>
        <v>si</v>
      </c>
      <c r="K79" t="str">
        <f t="shared" si="7"/>
        <v>1.38</v>
      </c>
    </row>
    <row r="80" ht="15.75" customHeight="1">
      <c r="B80" t="str">
        <f t="shared" si="1"/>
        <v>3306634.921</v>
      </c>
      <c r="C80" s="5" t="str">
        <f t="shared" si="8"/>
        <v>150.30%</v>
      </c>
      <c r="D80" t="str">
        <f t="shared" si="2"/>
        <v>1.08</v>
      </c>
      <c r="E80" t="str">
        <f t="shared" si="3"/>
        <v>4331691.746</v>
      </c>
      <c r="G80" t="str">
        <f t="shared" si="4"/>
        <v>1.23</v>
      </c>
      <c r="H80" t="str">
        <f t="shared" si="5"/>
        <v>4563156.19</v>
      </c>
      <c r="J80" t="str">
        <f t="shared" si="6"/>
        <v>si</v>
      </c>
      <c r="K80" t="str">
        <f t="shared" si="7"/>
        <v>1.38</v>
      </c>
    </row>
    <row r="81" ht="15.75" customHeight="1">
      <c r="B81" t="str">
        <f t="shared" si="1"/>
        <v>3328634.921</v>
      </c>
      <c r="C81" s="5" t="str">
        <f t="shared" si="8"/>
        <v>151.30%</v>
      </c>
      <c r="D81" t="str">
        <f t="shared" si="2"/>
        <v>1.08</v>
      </c>
      <c r="E81" t="str">
        <f t="shared" si="3"/>
        <v>4360511.746</v>
      </c>
      <c r="G81" t="str">
        <f t="shared" si="4"/>
        <v>1.23</v>
      </c>
      <c r="H81" t="str">
        <f t="shared" si="5"/>
        <v>4593516.19</v>
      </c>
      <c r="J81" t="str">
        <f t="shared" si="6"/>
        <v>si</v>
      </c>
      <c r="K81" t="str">
        <f t="shared" si="7"/>
        <v>1.38</v>
      </c>
    </row>
    <row r="82" ht="15.75" customHeight="1">
      <c r="B82" t="str">
        <f t="shared" si="1"/>
        <v>3350634.921</v>
      </c>
      <c r="C82" s="5" t="str">
        <f t="shared" si="8"/>
        <v>152.30%</v>
      </c>
      <c r="D82" t="str">
        <f t="shared" si="2"/>
        <v>1.08</v>
      </c>
      <c r="E82" t="str">
        <f t="shared" si="3"/>
        <v>4389331.746</v>
      </c>
      <c r="G82" t="str">
        <f t="shared" si="4"/>
        <v>1.23</v>
      </c>
      <c r="H82" t="str">
        <f t="shared" si="5"/>
        <v>4623876.19</v>
      </c>
      <c r="J82" t="str">
        <f t="shared" si="6"/>
        <v>si</v>
      </c>
      <c r="K82" t="str">
        <f t="shared" si="7"/>
        <v>1.38</v>
      </c>
    </row>
    <row r="83" ht="15.75" customHeight="1">
      <c r="B83" t="str">
        <f t="shared" si="1"/>
        <v>3372634.921</v>
      </c>
      <c r="C83" s="5" t="str">
        <f t="shared" si="8"/>
        <v>153.30%</v>
      </c>
      <c r="D83" t="str">
        <f t="shared" si="2"/>
        <v>1.08</v>
      </c>
      <c r="E83" t="str">
        <f t="shared" si="3"/>
        <v>4418151.746</v>
      </c>
      <c r="G83" t="str">
        <f t="shared" si="4"/>
        <v>1.23</v>
      </c>
      <c r="H83" t="str">
        <f t="shared" si="5"/>
        <v>4654236.19</v>
      </c>
      <c r="J83" t="str">
        <f t="shared" si="6"/>
        <v>si</v>
      </c>
      <c r="K83" t="str">
        <f t="shared" si="7"/>
        <v>1.38</v>
      </c>
    </row>
    <row r="84" ht="15.75" customHeight="1">
      <c r="B84" t="str">
        <f t="shared" si="1"/>
        <v>3394634.921</v>
      </c>
      <c r="C84" s="5" t="str">
        <f t="shared" si="8"/>
        <v>154.30%</v>
      </c>
      <c r="D84" t="str">
        <f t="shared" si="2"/>
        <v>1.08</v>
      </c>
      <c r="E84" t="str">
        <f t="shared" si="3"/>
        <v>4446971.746</v>
      </c>
      <c r="G84" t="str">
        <f t="shared" si="4"/>
        <v>1.23</v>
      </c>
      <c r="H84" t="str">
        <f t="shared" si="5"/>
        <v>4684596.19</v>
      </c>
      <c r="J84" t="str">
        <f t="shared" si="6"/>
        <v>si</v>
      </c>
      <c r="K84" t="str">
        <f t="shared" si="7"/>
        <v>1.38</v>
      </c>
    </row>
    <row r="85" ht="15.75" customHeight="1">
      <c r="B85" t="str">
        <f t="shared" si="1"/>
        <v>3416634.921</v>
      </c>
      <c r="C85" s="5" t="str">
        <f t="shared" si="8"/>
        <v>155.30%</v>
      </c>
      <c r="D85" t="str">
        <f t="shared" si="2"/>
        <v>1.08</v>
      </c>
      <c r="E85" t="str">
        <f t="shared" si="3"/>
        <v>4475791.746</v>
      </c>
      <c r="G85" t="str">
        <f t="shared" si="4"/>
        <v>1.23</v>
      </c>
      <c r="H85" t="str">
        <f t="shared" si="5"/>
        <v>4714956.19</v>
      </c>
      <c r="J85" t="str">
        <f t="shared" si="6"/>
        <v>si</v>
      </c>
      <c r="K85" t="str">
        <f t="shared" si="7"/>
        <v>1.38</v>
      </c>
    </row>
    <row r="86" ht="15.75" customHeight="1">
      <c r="B86" t="str">
        <f t="shared" si="1"/>
        <v>3438634.921</v>
      </c>
      <c r="C86" s="5" t="str">
        <f t="shared" si="8"/>
        <v>156.30%</v>
      </c>
      <c r="D86" t="str">
        <f t="shared" si="2"/>
        <v>1.08</v>
      </c>
      <c r="E86" t="str">
        <f t="shared" si="3"/>
        <v>4504611.746</v>
      </c>
      <c r="G86" t="str">
        <f t="shared" si="4"/>
        <v>1.23</v>
      </c>
      <c r="H86" t="str">
        <f t="shared" si="5"/>
        <v>4745316.19</v>
      </c>
      <c r="J86" t="str">
        <f t="shared" si="6"/>
        <v>si</v>
      </c>
      <c r="K86" t="str">
        <f t="shared" si="7"/>
        <v>1.38</v>
      </c>
    </row>
    <row r="87" ht="15.75" customHeight="1">
      <c r="B87" t="str">
        <f t="shared" si="1"/>
        <v>3460634.921</v>
      </c>
      <c r="C87" s="5" t="str">
        <f t="shared" si="8"/>
        <v>157.30%</v>
      </c>
      <c r="D87" t="str">
        <f t="shared" si="2"/>
        <v>1.08</v>
      </c>
      <c r="E87" t="str">
        <f t="shared" si="3"/>
        <v>4533431.746</v>
      </c>
      <c r="G87" t="str">
        <f t="shared" si="4"/>
        <v>1.23</v>
      </c>
      <c r="H87" t="str">
        <f t="shared" si="5"/>
        <v>4775676.19</v>
      </c>
      <c r="J87" t="str">
        <f t="shared" si="6"/>
        <v>si</v>
      </c>
      <c r="K87" t="str">
        <f t="shared" si="7"/>
        <v>1.38</v>
      </c>
    </row>
    <row r="88" ht="15.75" customHeight="1">
      <c r="B88" t="str">
        <f t="shared" si="1"/>
        <v>3482634.921</v>
      </c>
      <c r="C88" s="5" t="str">
        <f t="shared" si="8"/>
        <v>158.30%</v>
      </c>
      <c r="D88" t="str">
        <f t="shared" si="2"/>
        <v>1.08</v>
      </c>
      <c r="E88" t="str">
        <f t="shared" si="3"/>
        <v>4562251.746</v>
      </c>
      <c r="G88" t="str">
        <f t="shared" si="4"/>
        <v>1.23</v>
      </c>
      <c r="H88" t="str">
        <f t="shared" si="5"/>
        <v>4806036.19</v>
      </c>
      <c r="J88" t="str">
        <f t="shared" si="6"/>
        <v>si</v>
      </c>
      <c r="K88" t="str">
        <f t="shared" si="7"/>
        <v>1.38</v>
      </c>
    </row>
    <row r="89" ht="15.75" customHeight="1">
      <c r="B89" t="str">
        <f t="shared" si="1"/>
        <v>3504634.921</v>
      </c>
      <c r="C89" s="5" t="str">
        <f t="shared" si="8"/>
        <v>159.30%</v>
      </c>
      <c r="D89" t="str">
        <f t="shared" si="2"/>
        <v>1.08</v>
      </c>
      <c r="E89" t="str">
        <f t="shared" si="3"/>
        <v>4591071.746</v>
      </c>
      <c r="G89" t="str">
        <f t="shared" si="4"/>
        <v>1.23</v>
      </c>
      <c r="H89" t="str">
        <f t="shared" si="5"/>
        <v>4836396.19</v>
      </c>
      <c r="J89" t="str">
        <f t="shared" si="6"/>
        <v>si</v>
      </c>
      <c r="K89" t="str">
        <f t="shared" si="7"/>
        <v>1.38</v>
      </c>
    </row>
    <row r="90" ht="15.75" customHeight="1">
      <c r="B90" t="str">
        <f t="shared" si="1"/>
        <v>3526634.921</v>
      </c>
      <c r="C90" s="5" t="str">
        <f t="shared" si="8"/>
        <v>160.30%</v>
      </c>
      <c r="D90" t="str">
        <f t="shared" si="2"/>
        <v>1.08</v>
      </c>
      <c r="E90" t="str">
        <f t="shared" si="3"/>
        <v>4619891.746</v>
      </c>
      <c r="G90" t="str">
        <f t="shared" si="4"/>
        <v>1.23</v>
      </c>
      <c r="H90" t="str">
        <f t="shared" si="5"/>
        <v>4866756.19</v>
      </c>
      <c r="J90" t="str">
        <f t="shared" si="6"/>
        <v>si</v>
      </c>
      <c r="K90" t="str">
        <f t="shared" si="7"/>
        <v>1.38</v>
      </c>
    </row>
    <row r="91" ht="15.75" customHeight="1">
      <c r="B91" t="str">
        <f t="shared" si="1"/>
        <v>3548634.921</v>
      </c>
      <c r="C91" s="5" t="str">
        <f t="shared" si="8"/>
        <v>161.30%</v>
      </c>
      <c r="D91" t="str">
        <f t="shared" si="2"/>
        <v>1.08</v>
      </c>
      <c r="E91" t="str">
        <f t="shared" si="3"/>
        <v>4648711.746</v>
      </c>
      <c r="G91" t="str">
        <f t="shared" si="4"/>
        <v>1.23</v>
      </c>
      <c r="H91" t="str">
        <f t="shared" si="5"/>
        <v>4897116.19</v>
      </c>
      <c r="J91" t="str">
        <f t="shared" si="6"/>
        <v>si</v>
      </c>
      <c r="K91" t="str">
        <f t="shared" si="7"/>
        <v>1.38</v>
      </c>
    </row>
    <row r="92" ht="15.75" customHeight="1">
      <c r="B92" t="str">
        <f t="shared" si="1"/>
        <v>3570634.921</v>
      </c>
      <c r="C92" s="5" t="str">
        <f t="shared" si="8"/>
        <v>162.30%</v>
      </c>
      <c r="D92" t="str">
        <f t="shared" si="2"/>
        <v>1.08</v>
      </c>
      <c r="E92" t="str">
        <f t="shared" si="3"/>
        <v>4677531.746</v>
      </c>
      <c r="G92" t="str">
        <f t="shared" si="4"/>
        <v>1.23</v>
      </c>
      <c r="H92" t="str">
        <f t="shared" si="5"/>
        <v>4927476.19</v>
      </c>
      <c r="J92" t="str">
        <f t="shared" si="6"/>
        <v>si</v>
      </c>
      <c r="K92" t="str">
        <f t="shared" si="7"/>
        <v>1.38</v>
      </c>
    </row>
    <row r="93" ht="15.75" customHeight="1">
      <c r="B93" t="str">
        <f t="shared" si="1"/>
        <v>3592634.921</v>
      </c>
      <c r="C93" s="5" t="str">
        <f t="shared" si="8"/>
        <v>163.30%</v>
      </c>
      <c r="D93" t="str">
        <f t="shared" si="2"/>
        <v>1.28</v>
      </c>
      <c r="E93" t="str">
        <f t="shared" si="3"/>
        <v>5424878.73</v>
      </c>
      <c r="G93" t="str">
        <f t="shared" si="4"/>
        <v>1.43</v>
      </c>
      <c r="H93" t="str">
        <f t="shared" si="5"/>
        <v>5676363.175</v>
      </c>
      <c r="J93" t="str">
        <f t="shared" si="6"/>
        <v>si</v>
      </c>
      <c r="K93" t="str">
        <f t="shared" si="7"/>
        <v>1.58</v>
      </c>
    </row>
    <row r="94" ht="15.75" customHeight="1">
      <c r="B94" t="str">
        <f t="shared" si="1"/>
        <v>3614634.921</v>
      </c>
      <c r="C94" s="5" t="str">
        <f t="shared" si="8"/>
        <v>164.30%</v>
      </c>
      <c r="D94" t="str">
        <f t="shared" si="2"/>
        <v>1.28</v>
      </c>
      <c r="E94" t="str">
        <f t="shared" si="3"/>
        <v>5458098.73</v>
      </c>
      <c r="G94" t="str">
        <f t="shared" si="4"/>
        <v>1.43</v>
      </c>
      <c r="H94" t="str">
        <f t="shared" si="5"/>
        <v>5711123.175</v>
      </c>
      <c r="J94" t="str">
        <f t="shared" si="6"/>
        <v>si</v>
      </c>
      <c r="K94" t="str">
        <f t="shared" si="7"/>
        <v>1.58</v>
      </c>
    </row>
    <row r="95" ht="15.75" customHeight="1">
      <c r="B95" t="str">
        <f t="shared" si="1"/>
        <v>3636634.921</v>
      </c>
      <c r="C95" s="5" t="str">
        <f t="shared" si="8"/>
        <v>165.30%</v>
      </c>
      <c r="D95" t="str">
        <f t="shared" si="2"/>
        <v>1.28</v>
      </c>
      <c r="E95" t="str">
        <f t="shared" si="3"/>
        <v>5491318.73</v>
      </c>
      <c r="G95" t="str">
        <f t="shared" si="4"/>
        <v>1.43</v>
      </c>
      <c r="H95" t="str">
        <f t="shared" si="5"/>
        <v>5745883.175</v>
      </c>
      <c r="J95" t="str">
        <f t="shared" si="6"/>
        <v>si</v>
      </c>
      <c r="K95" t="str">
        <f t="shared" si="7"/>
        <v>1.58</v>
      </c>
    </row>
    <row r="96" ht="15.75" customHeight="1">
      <c r="B96" t="str">
        <f t="shared" si="1"/>
        <v>3658634.921</v>
      </c>
      <c r="C96" s="5" t="str">
        <f t="shared" si="8"/>
        <v>166.30%</v>
      </c>
      <c r="D96" t="str">
        <f t="shared" si="2"/>
        <v>1.28</v>
      </c>
      <c r="E96" t="str">
        <f t="shared" si="3"/>
        <v>5524538.73</v>
      </c>
      <c r="G96" t="str">
        <f t="shared" si="4"/>
        <v>1.43</v>
      </c>
      <c r="H96" t="str">
        <f t="shared" si="5"/>
        <v>5780643.175</v>
      </c>
      <c r="J96" t="str">
        <f t="shared" si="6"/>
        <v>si</v>
      </c>
      <c r="K96" t="str">
        <f t="shared" si="7"/>
        <v>1.58</v>
      </c>
    </row>
    <row r="97" ht="15.75" customHeight="1">
      <c r="B97" t="str">
        <f t="shared" si="1"/>
        <v>3680634.921</v>
      </c>
      <c r="C97" s="5" t="str">
        <f t="shared" si="8"/>
        <v>167.30%</v>
      </c>
      <c r="D97" t="str">
        <f t="shared" si="2"/>
        <v>1.28</v>
      </c>
      <c r="E97" t="str">
        <f t="shared" si="3"/>
        <v>5557758.73</v>
      </c>
      <c r="G97" t="str">
        <f t="shared" si="4"/>
        <v>1.43</v>
      </c>
      <c r="H97" t="str">
        <f t="shared" si="5"/>
        <v>5815403.175</v>
      </c>
      <c r="J97" t="str">
        <f t="shared" si="6"/>
        <v>si</v>
      </c>
      <c r="K97" t="str">
        <f t="shared" si="7"/>
        <v>1.58</v>
      </c>
    </row>
    <row r="98" ht="15.75" customHeight="1">
      <c r="B98" t="str">
        <f t="shared" si="1"/>
        <v>3702634.921</v>
      </c>
      <c r="C98" s="5" t="str">
        <f t="shared" si="8"/>
        <v>168.30%</v>
      </c>
      <c r="D98" t="str">
        <f t="shared" si="2"/>
        <v>1.28</v>
      </c>
      <c r="E98" t="str">
        <f t="shared" si="3"/>
        <v>5590978.73</v>
      </c>
      <c r="G98" t="str">
        <f t="shared" si="4"/>
        <v>1.43</v>
      </c>
      <c r="H98" t="str">
        <f t="shared" si="5"/>
        <v>5850163.175</v>
      </c>
      <c r="J98" t="str">
        <f t="shared" si="6"/>
        <v>si</v>
      </c>
      <c r="K98" t="str">
        <f t="shared" si="7"/>
        <v>1.58</v>
      </c>
    </row>
    <row r="99" ht="15.75" customHeight="1">
      <c r="B99" t="str">
        <f t="shared" si="1"/>
        <v>3724634.921</v>
      </c>
      <c r="C99" s="5" t="str">
        <f t="shared" si="8"/>
        <v>169.30%</v>
      </c>
      <c r="D99" t="str">
        <f t="shared" si="2"/>
        <v>1.28</v>
      </c>
      <c r="E99" t="str">
        <f t="shared" si="3"/>
        <v>5624198.73</v>
      </c>
      <c r="G99" t="str">
        <f t="shared" si="4"/>
        <v>1.43</v>
      </c>
      <c r="H99" t="str">
        <f t="shared" si="5"/>
        <v>5884923.175</v>
      </c>
      <c r="J99" t="str">
        <f t="shared" si="6"/>
        <v>si</v>
      </c>
      <c r="K99" t="str">
        <f t="shared" si="7"/>
        <v>1.58</v>
      </c>
    </row>
    <row r="100" ht="15.75" customHeight="1">
      <c r="B100" t="str">
        <f t="shared" si="1"/>
        <v>3746634.921</v>
      </c>
      <c r="C100" s="5" t="str">
        <f t="shared" si="8"/>
        <v>170.30%</v>
      </c>
      <c r="D100" t="str">
        <f t="shared" si="2"/>
        <v>1.28</v>
      </c>
      <c r="E100" t="str">
        <f t="shared" si="3"/>
        <v>5657418.73</v>
      </c>
      <c r="G100" t="str">
        <f t="shared" si="4"/>
        <v>1.43</v>
      </c>
      <c r="H100" t="str">
        <f t="shared" si="5"/>
        <v>5919683.175</v>
      </c>
      <c r="J100" t="str">
        <f t="shared" si="6"/>
        <v>si</v>
      </c>
      <c r="K100" t="str">
        <f t="shared" si="7"/>
        <v>1.58</v>
      </c>
    </row>
    <row r="101" ht="15.75" customHeight="1">
      <c r="B101" t="str">
        <f t="shared" si="1"/>
        <v>3768634.921</v>
      </c>
      <c r="C101" s="5" t="str">
        <f t="shared" si="8"/>
        <v>171.30%</v>
      </c>
      <c r="D101" t="str">
        <f t="shared" si="2"/>
        <v>1.28</v>
      </c>
      <c r="E101" t="str">
        <f t="shared" si="3"/>
        <v>5690638.73</v>
      </c>
      <c r="G101" t="str">
        <f t="shared" si="4"/>
        <v>1.43</v>
      </c>
      <c r="H101" t="str">
        <f t="shared" si="5"/>
        <v>5954443.175</v>
      </c>
      <c r="J101" t="str">
        <f t="shared" si="6"/>
        <v>si</v>
      </c>
      <c r="K101" t="str">
        <f t="shared" si="7"/>
        <v>1.58</v>
      </c>
    </row>
    <row r="102" ht="15.75" customHeight="1">
      <c r="B102" t="str">
        <f t="shared" si="1"/>
        <v>3790634.921</v>
      </c>
      <c r="C102" s="5" t="str">
        <f t="shared" si="8"/>
        <v>172.30%</v>
      </c>
      <c r="D102" t="str">
        <f t="shared" si="2"/>
        <v>1.28</v>
      </c>
      <c r="E102" t="str">
        <f t="shared" si="3"/>
        <v>5723858.73</v>
      </c>
      <c r="G102" t="str">
        <f t="shared" si="4"/>
        <v>1.43</v>
      </c>
      <c r="H102" t="str">
        <f t="shared" si="5"/>
        <v>5989203.175</v>
      </c>
      <c r="J102" t="str">
        <f t="shared" si="6"/>
        <v>si</v>
      </c>
      <c r="K102" t="str">
        <f t="shared" si="7"/>
        <v>1.58</v>
      </c>
    </row>
    <row r="103" ht="15.75" customHeight="1">
      <c r="B103" t="str">
        <f t="shared" si="1"/>
        <v>3812634.921</v>
      </c>
      <c r="C103" s="5" t="str">
        <f t="shared" si="8"/>
        <v>173.30%</v>
      </c>
      <c r="D103" t="str">
        <f t="shared" si="2"/>
        <v>1.28</v>
      </c>
      <c r="E103" t="str">
        <f t="shared" si="3"/>
        <v>5757078.73</v>
      </c>
      <c r="G103" t="str">
        <f t="shared" si="4"/>
        <v>1.43</v>
      </c>
      <c r="H103" t="str">
        <f t="shared" si="5"/>
        <v>6023963.175</v>
      </c>
      <c r="J103" t="str">
        <f t="shared" si="6"/>
        <v>si</v>
      </c>
      <c r="K103" t="str">
        <f t="shared" si="7"/>
        <v>1.58</v>
      </c>
    </row>
    <row r="104" ht="15.75" customHeight="1">
      <c r="B104" t="str">
        <f t="shared" si="1"/>
        <v>3834634.921</v>
      </c>
      <c r="C104" s="5" t="str">
        <f t="shared" si="8"/>
        <v>174.30%</v>
      </c>
      <c r="D104" t="str">
        <f t="shared" si="2"/>
        <v>1.28</v>
      </c>
      <c r="E104" t="str">
        <f t="shared" si="3"/>
        <v>5790298.73</v>
      </c>
      <c r="G104" t="str">
        <f t="shared" si="4"/>
        <v>1.43</v>
      </c>
      <c r="H104" t="str">
        <f t="shared" si="5"/>
        <v>6058723.175</v>
      </c>
      <c r="J104" t="str">
        <f t="shared" si="6"/>
        <v>si</v>
      </c>
      <c r="K104" t="str">
        <f t="shared" si="7"/>
        <v>1.58</v>
      </c>
    </row>
    <row r="105" ht="15.75" customHeight="1">
      <c r="B105" t="str">
        <f t="shared" si="1"/>
        <v>3856634.921</v>
      </c>
      <c r="C105" s="5" t="str">
        <f t="shared" si="8"/>
        <v>175.30%</v>
      </c>
      <c r="D105" t="str">
        <f t="shared" si="2"/>
        <v>1.28</v>
      </c>
      <c r="E105" t="str">
        <f t="shared" si="3"/>
        <v>5823518.73</v>
      </c>
      <c r="G105" t="str">
        <f t="shared" si="4"/>
        <v>1.43</v>
      </c>
      <c r="H105" t="str">
        <f t="shared" si="5"/>
        <v>6093483.175</v>
      </c>
      <c r="J105" t="str">
        <f t="shared" si="6"/>
        <v>si</v>
      </c>
      <c r="K105" t="str">
        <f t="shared" si="7"/>
        <v>1.58</v>
      </c>
    </row>
    <row r="106" ht="15.75" customHeight="1">
      <c r="B106" t="str">
        <f t="shared" si="1"/>
        <v>3878634.921</v>
      </c>
      <c r="C106" s="5" t="str">
        <f t="shared" si="8"/>
        <v>176.30%</v>
      </c>
      <c r="D106" t="str">
        <f t="shared" si="2"/>
        <v>1.28</v>
      </c>
      <c r="E106" t="str">
        <f t="shared" si="3"/>
        <v>5856738.73</v>
      </c>
      <c r="G106" t="str">
        <f t="shared" si="4"/>
        <v>1.43</v>
      </c>
      <c r="H106" t="str">
        <f t="shared" si="5"/>
        <v>6128243.175</v>
      </c>
      <c r="J106" t="str">
        <f t="shared" si="6"/>
        <v>si</v>
      </c>
      <c r="K106" t="str">
        <f t="shared" si="7"/>
        <v>1.58</v>
      </c>
    </row>
    <row r="107" ht="15.75" customHeight="1">
      <c r="B107" t="str">
        <f t="shared" si="1"/>
        <v>3900634.921</v>
      </c>
      <c r="C107" s="5" t="str">
        <f t="shared" si="8"/>
        <v>177.30%</v>
      </c>
      <c r="D107" t="str">
        <f t="shared" si="2"/>
        <v>1.28</v>
      </c>
      <c r="E107" t="str">
        <f t="shared" si="3"/>
        <v>5889958.73</v>
      </c>
      <c r="G107" t="str">
        <f t="shared" si="4"/>
        <v>1.43</v>
      </c>
      <c r="H107" t="str">
        <f t="shared" si="5"/>
        <v>6163003.175</v>
      </c>
      <c r="J107" t="str">
        <f t="shared" si="6"/>
        <v>si</v>
      </c>
      <c r="K107" t="str">
        <f t="shared" si="7"/>
        <v>1.58</v>
      </c>
    </row>
    <row r="108" ht="15.75" customHeight="1">
      <c r="B108" t="str">
        <f t="shared" si="1"/>
        <v>3922634.921</v>
      </c>
      <c r="C108" s="5" t="str">
        <f t="shared" si="8"/>
        <v>178.30%</v>
      </c>
      <c r="D108" t="str">
        <f t="shared" si="2"/>
        <v>1.28</v>
      </c>
      <c r="E108" t="str">
        <f t="shared" si="3"/>
        <v>5923178.73</v>
      </c>
      <c r="G108" t="str">
        <f t="shared" si="4"/>
        <v>1.43</v>
      </c>
      <c r="H108" t="str">
        <f t="shared" si="5"/>
        <v>6197763.175</v>
      </c>
      <c r="J108" t="str">
        <f t="shared" si="6"/>
        <v>si</v>
      </c>
      <c r="K108" t="str">
        <f t="shared" si="7"/>
        <v>1.58</v>
      </c>
    </row>
    <row r="109" ht="15.75" customHeight="1">
      <c r="B109" t="str">
        <f t="shared" si="1"/>
        <v>3944634.921</v>
      </c>
      <c r="C109" s="5" t="str">
        <f t="shared" si="8"/>
        <v>179.30%</v>
      </c>
      <c r="D109" t="str">
        <f t="shared" si="2"/>
        <v>1.28</v>
      </c>
      <c r="E109" t="str">
        <f t="shared" si="3"/>
        <v>5956398.73</v>
      </c>
      <c r="G109" t="str">
        <f t="shared" si="4"/>
        <v>1.43</v>
      </c>
      <c r="H109" t="str">
        <f t="shared" si="5"/>
        <v>6232523.175</v>
      </c>
      <c r="J109" t="str">
        <f t="shared" si="6"/>
        <v>si</v>
      </c>
      <c r="K109" t="str">
        <f t="shared" si="7"/>
        <v>1.58</v>
      </c>
    </row>
    <row r="110" ht="15.75" customHeight="1">
      <c r="B110" t="str">
        <f t="shared" si="1"/>
        <v>3966634.921</v>
      </c>
      <c r="C110" s="5" t="str">
        <f t="shared" si="8"/>
        <v>180.30%</v>
      </c>
      <c r="D110" t="str">
        <f t="shared" si="2"/>
        <v>1.28</v>
      </c>
      <c r="E110" t="str">
        <f t="shared" si="3"/>
        <v>5989618.73</v>
      </c>
      <c r="G110" t="str">
        <f t="shared" si="4"/>
        <v>1.43</v>
      </c>
      <c r="H110" t="str">
        <f t="shared" si="5"/>
        <v>6267283.175</v>
      </c>
      <c r="J110" t="str">
        <f t="shared" si="6"/>
        <v>si</v>
      </c>
      <c r="K110" t="str">
        <f t="shared" si="7"/>
        <v>1.58</v>
      </c>
    </row>
    <row r="111" ht="15.75" customHeight="1">
      <c r="B111" t="str">
        <f t="shared" si="1"/>
        <v>3988634.921</v>
      </c>
      <c r="C111" s="5" t="str">
        <f t="shared" si="8"/>
        <v>181.30%</v>
      </c>
      <c r="D111" t="str">
        <f t="shared" si="2"/>
        <v>1.28</v>
      </c>
      <c r="E111" t="str">
        <f t="shared" si="3"/>
        <v>6022838.73</v>
      </c>
      <c r="G111" t="str">
        <f t="shared" si="4"/>
        <v>1.43</v>
      </c>
      <c r="H111" t="str">
        <f t="shared" si="5"/>
        <v>6302043.175</v>
      </c>
      <c r="J111" t="str">
        <f t="shared" si="6"/>
        <v>si</v>
      </c>
      <c r="K111" t="str">
        <f t="shared" si="7"/>
        <v>1.58</v>
      </c>
    </row>
    <row r="112" ht="15.75" customHeight="1">
      <c r="B112" t="str">
        <f t="shared" si="1"/>
        <v>4010634.921</v>
      </c>
      <c r="C112" s="5" t="str">
        <f t="shared" si="8"/>
        <v>182.30%</v>
      </c>
      <c r="D112" t="str">
        <f t="shared" si="2"/>
        <v>1.28</v>
      </c>
      <c r="E112" t="str">
        <f t="shared" si="3"/>
        <v>6056058.73</v>
      </c>
      <c r="G112" t="str">
        <f t="shared" si="4"/>
        <v>1.43</v>
      </c>
      <c r="H112" t="str">
        <f t="shared" si="5"/>
        <v>6336803.175</v>
      </c>
      <c r="J112" t="str">
        <f t="shared" si="6"/>
        <v>si</v>
      </c>
      <c r="K112" t="str">
        <f t="shared" si="7"/>
        <v>1.58</v>
      </c>
    </row>
    <row r="113" ht="15.75" customHeight="1">
      <c r="B113" t="str">
        <f t="shared" si="1"/>
        <v>4032634.921</v>
      </c>
      <c r="C113" s="5" t="str">
        <f t="shared" si="8"/>
        <v>183.30%</v>
      </c>
      <c r="D113" t="str">
        <f t="shared" si="2"/>
        <v>1.28</v>
      </c>
      <c r="E113" t="str">
        <f t="shared" si="3"/>
        <v>6089278.73</v>
      </c>
      <c r="G113" t="str">
        <f t="shared" si="4"/>
        <v>1.43</v>
      </c>
      <c r="H113" t="str">
        <f t="shared" si="5"/>
        <v>6371563.175</v>
      </c>
      <c r="J113" t="str">
        <f t="shared" si="6"/>
        <v>si</v>
      </c>
      <c r="K113" t="str">
        <f t="shared" si="7"/>
        <v>1.58</v>
      </c>
    </row>
    <row r="114" ht="15.75" customHeight="1">
      <c r="B114" t="str">
        <f t="shared" si="1"/>
        <v>4054634.921</v>
      </c>
      <c r="C114" s="5" t="str">
        <f t="shared" si="8"/>
        <v>184.30%</v>
      </c>
      <c r="D114" t="str">
        <f t="shared" si="2"/>
        <v>1.28</v>
      </c>
      <c r="E114" t="str">
        <f t="shared" si="3"/>
        <v>6122498.73</v>
      </c>
      <c r="G114" t="str">
        <f t="shared" si="4"/>
        <v>1.43</v>
      </c>
      <c r="H114" t="str">
        <f t="shared" si="5"/>
        <v>6406323.175</v>
      </c>
      <c r="J114" t="str">
        <f t="shared" si="6"/>
        <v>si</v>
      </c>
      <c r="K114" t="str">
        <f t="shared" si="7"/>
        <v>1.58</v>
      </c>
    </row>
    <row r="115" ht="15.75" customHeight="1">
      <c r="B115" t="str">
        <f t="shared" si="1"/>
        <v>4076634.921</v>
      </c>
      <c r="C115" s="5" t="str">
        <f t="shared" si="8"/>
        <v>185.30%</v>
      </c>
      <c r="D115" t="str">
        <f t="shared" si="2"/>
        <v>1.28</v>
      </c>
      <c r="E115" t="str">
        <f t="shared" si="3"/>
        <v>6155718.73</v>
      </c>
      <c r="G115" t="str">
        <f t="shared" si="4"/>
        <v>1.43</v>
      </c>
      <c r="H115" t="str">
        <f t="shared" si="5"/>
        <v>6441083.175</v>
      </c>
      <c r="J115" t="str">
        <f t="shared" si="6"/>
        <v>si</v>
      </c>
      <c r="K115" t="str">
        <f t="shared" si="7"/>
        <v>1.58</v>
      </c>
    </row>
    <row r="116" ht="15.75" customHeight="1">
      <c r="B116" t="str">
        <f t="shared" si="1"/>
        <v>4098634.921</v>
      </c>
      <c r="C116" s="5" t="str">
        <f t="shared" si="8"/>
        <v>186.30%</v>
      </c>
      <c r="D116" t="str">
        <f t="shared" si="2"/>
        <v>1.28</v>
      </c>
      <c r="E116" t="str">
        <f t="shared" si="3"/>
        <v>6188938.73</v>
      </c>
      <c r="G116" t="str">
        <f t="shared" si="4"/>
        <v>1.43</v>
      </c>
      <c r="H116" t="str">
        <f t="shared" si="5"/>
        <v>6475843.175</v>
      </c>
      <c r="J116" t="str">
        <f t="shared" si="6"/>
        <v>si</v>
      </c>
      <c r="K116" t="str">
        <f t="shared" si="7"/>
        <v>1.58</v>
      </c>
    </row>
    <row r="117" ht="15.75" customHeight="1">
      <c r="B117" t="str">
        <f t="shared" si="1"/>
        <v>4120634.921</v>
      </c>
      <c r="C117" s="5" t="str">
        <f t="shared" si="8"/>
        <v>187.30%</v>
      </c>
      <c r="D117" t="str">
        <f t="shared" si="2"/>
        <v>1.28</v>
      </c>
      <c r="E117" t="str">
        <f t="shared" si="3"/>
        <v>6222158.73</v>
      </c>
      <c r="G117" t="str">
        <f t="shared" si="4"/>
        <v>1.43</v>
      </c>
      <c r="H117" t="str">
        <f t="shared" si="5"/>
        <v>6510603.175</v>
      </c>
      <c r="J117" t="str">
        <f t="shared" si="6"/>
        <v>si</v>
      </c>
      <c r="K117" t="str">
        <f t="shared" si="7"/>
        <v>1.58</v>
      </c>
    </row>
    <row r="118" ht="15.75" customHeight="1">
      <c r="B118" t="str">
        <f t="shared" si="1"/>
        <v>4142634.921</v>
      </c>
      <c r="C118" s="5" t="str">
        <f t="shared" si="8"/>
        <v>188.30%</v>
      </c>
      <c r="D118" t="str">
        <f t="shared" si="2"/>
        <v>1.28</v>
      </c>
      <c r="E118" t="str">
        <f t="shared" si="3"/>
        <v>6255378.73</v>
      </c>
      <c r="G118" t="str">
        <f t="shared" si="4"/>
        <v>1.43</v>
      </c>
      <c r="H118" t="str">
        <f t="shared" si="5"/>
        <v>6545363.175</v>
      </c>
      <c r="J118" t="str">
        <f t="shared" si="6"/>
        <v>si</v>
      </c>
      <c r="K118" t="str">
        <f t="shared" si="7"/>
        <v>1.58</v>
      </c>
    </row>
    <row r="119" ht="15.75" customHeight="1">
      <c r="B119" t="str">
        <f t="shared" si="1"/>
        <v>4164634.921</v>
      </c>
      <c r="C119" s="5" t="str">
        <f t="shared" si="8"/>
        <v>189.30%</v>
      </c>
      <c r="D119" t="str">
        <f t="shared" si="2"/>
        <v>1.28</v>
      </c>
      <c r="E119" t="str">
        <f t="shared" si="3"/>
        <v>6288598.73</v>
      </c>
      <c r="G119" t="str">
        <f t="shared" si="4"/>
        <v>1.43</v>
      </c>
      <c r="H119" t="str">
        <f t="shared" si="5"/>
        <v>6580123.175</v>
      </c>
      <c r="J119" t="str">
        <f t="shared" si="6"/>
        <v>si</v>
      </c>
      <c r="K119" t="str">
        <f t="shared" si="7"/>
        <v>1.58</v>
      </c>
    </row>
    <row r="120" ht="15.75" customHeight="1">
      <c r="B120" t="str">
        <f t="shared" si="1"/>
        <v>4186634.921</v>
      </c>
      <c r="C120" s="5" t="str">
        <f t="shared" si="8"/>
        <v>190.30%</v>
      </c>
      <c r="D120" t="str">
        <f t="shared" si="2"/>
        <v>1.28</v>
      </c>
      <c r="E120" t="str">
        <f t="shared" si="3"/>
        <v>6321818.73</v>
      </c>
      <c r="G120" t="str">
        <f t="shared" si="4"/>
        <v>1.43</v>
      </c>
      <c r="H120" t="str">
        <f t="shared" si="5"/>
        <v>6614883.175</v>
      </c>
      <c r="J120" t="str">
        <f t="shared" si="6"/>
        <v>si</v>
      </c>
      <c r="K120" t="str">
        <f t="shared" si="7"/>
        <v>1.58</v>
      </c>
    </row>
    <row r="121" ht="15.75" customHeight="1">
      <c r="B121" t="str">
        <f t="shared" si="1"/>
        <v>4208634.921</v>
      </c>
      <c r="C121" s="5" t="str">
        <f t="shared" si="8"/>
        <v>191.30%</v>
      </c>
      <c r="D121" t="str">
        <f t="shared" si="2"/>
        <v>1.28</v>
      </c>
      <c r="E121" t="str">
        <f t="shared" si="3"/>
        <v>6355038.73</v>
      </c>
      <c r="G121" t="str">
        <f t="shared" si="4"/>
        <v>1.43</v>
      </c>
      <c r="H121" t="str">
        <f t="shared" si="5"/>
        <v>6649643.175</v>
      </c>
      <c r="J121" t="str">
        <f t="shared" si="6"/>
        <v>si</v>
      </c>
      <c r="K121" t="str">
        <f t="shared" si="7"/>
        <v>1.58</v>
      </c>
    </row>
    <row r="122" ht="15.75" customHeight="1">
      <c r="B122" t="str">
        <f t="shared" si="1"/>
        <v>4230634.921</v>
      </c>
      <c r="C122" s="5" t="str">
        <f t="shared" si="8"/>
        <v>192.30%</v>
      </c>
      <c r="D122" t="str">
        <f t="shared" si="2"/>
        <v>1.28</v>
      </c>
      <c r="E122" t="str">
        <f t="shared" si="3"/>
        <v>6388258.73</v>
      </c>
      <c r="G122" t="str">
        <f t="shared" si="4"/>
        <v>1.43</v>
      </c>
      <c r="H122" t="str">
        <f t="shared" si="5"/>
        <v>6684403.175</v>
      </c>
      <c r="J122" t="str">
        <f t="shared" si="6"/>
        <v>si</v>
      </c>
      <c r="K122" t="str">
        <f t="shared" si="7"/>
        <v>1.58</v>
      </c>
    </row>
    <row r="123" ht="15.75" customHeight="1">
      <c r="B123" t="str">
        <f t="shared" si="1"/>
        <v>4252634.921</v>
      </c>
      <c r="C123" s="5" t="str">
        <f t="shared" si="8"/>
        <v>193.30%</v>
      </c>
      <c r="D123" t="str">
        <f t="shared" si="2"/>
        <v>1.28</v>
      </c>
      <c r="E123" t="str">
        <f t="shared" si="3"/>
        <v>6421478.73</v>
      </c>
      <c r="G123" t="str">
        <f t="shared" si="4"/>
        <v>1.43</v>
      </c>
      <c r="H123" t="str">
        <f t="shared" si="5"/>
        <v>6719163.175</v>
      </c>
      <c r="J123" t="str">
        <f t="shared" si="6"/>
        <v>si</v>
      </c>
      <c r="K123" t="str">
        <f t="shared" si="7"/>
        <v>1.58</v>
      </c>
    </row>
    <row r="124" ht="15.75" customHeight="1">
      <c r="B124" t="str">
        <f t="shared" si="1"/>
        <v>4274634.921</v>
      </c>
      <c r="C124" s="5" t="str">
        <f t="shared" si="8"/>
        <v>194.30%</v>
      </c>
      <c r="D124" t="str">
        <f t="shared" si="2"/>
        <v>1.28</v>
      </c>
      <c r="E124" t="str">
        <f t="shared" si="3"/>
        <v>6454698.73</v>
      </c>
      <c r="G124" t="str">
        <f t="shared" si="4"/>
        <v>1.43</v>
      </c>
      <c r="H124" t="str">
        <f t="shared" si="5"/>
        <v>6753923.175</v>
      </c>
      <c r="J124" t="str">
        <f t="shared" si="6"/>
        <v>si</v>
      </c>
      <c r="K124" t="str">
        <f t="shared" si="7"/>
        <v>1.58</v>
      </c>
    </row>
    <row r="125" ht="15.75" customHeight="1">
      <c r="B125" t="str">
        <f t="shared" si="1"/>
        <v>4296634.921</v>
      </c>
      <c r="C125" s="5" t="str">
        <f t="shared" si="8"/>
        <v>195.30%</v>
      </c>
      <c r="D125" t="str">
        <f t="shared" si="2"/>
        <v>1.28</v>
      </c>
      <c r="E125" t="str">
        <f t="shared" si="3"/>
        <v>6487918.73</v>
      </c>
      <c r="G125" t="str">
        <f t="shared" si="4"/>
        <v>1.43</v>
      </c>
      <c r="H125" t="str">
        <f t="shared" si="5"/>
        <v>6788683.175</v>
      </c>
      <c r="J125" t="str">
        <f t="shared" si="6"/>
        <v>si</v>
      </c>
      <c r="K125" t="str">
        <f t="shared" si="7"/>
        <v>1.58</v>
      </c>
    </row>
    <row r="126" ht="15.75" customHeight="1">
      <c r="B126" t="str">
        <f t="shared" si="1"/>
        <v>4318634.921</v>
      </c>
      <c r="C126" s="5" t="str">
        <f t="shared" si="8"/>
        <v>196.30%</v>
      </c>
      <c r="D126" t="str">
        <f t="shared" si="2"/>
        <v>1.28</v>
      </c>
      <c r="E126" t="str">
        <f t="shared" si="3"/>
        <v>6521138.73</v>
      </c>
      <c r="G126" t="str">
        <f t="shared" si="4"/>
        <v>1.43</v>
      </c>
      <c r="H126" t="str">
        <f t="shared" si="5"/>
        <v>6823443.175</v>
      </c>
      <c r="J126" t="str">
        <f t="shared" si="6"/>
        <v>si</v>
      </c>
      <c r="K126" t="str">
        <f t="shared" si="7"/>
        <v>1.58</v>
      </c>
    </row>
    <row r="127" ht="15.75" customHeight="1">
      <c r="B127" t="str">
        <f t="shared" si="1"/>
        <v>4340634.921</v>
      </c>
      <c r="C127" s="5" t="str">
        <f t="shared" si="8"/>
        <v>197.30%</v>
      </c>
      <c r="D127" t="str">
        <f t="shared" si="2"/>
        <v>1.28</v>
      </c>
      <c r="E127" t="str">
        <f t="shared" si="3"/>
        <v>6554358.73</v>
      </c>
      <c r="G127" t="str">
        <f t="shared" si="4"/>
        <v>1.43</v>
      </c>
      <c r="H127" t="str">
        <f t="shared" si="5"/>
        <v>6858203.175</v>
      </c>
      <c r="J127" t="str">
        <f t="shared" si="6"/>
        <v>si</v>
      </c>
      <c r="K127" t="str">
        <f t="shared" si="7"/>
        <v>1.58</v>
      </c>
    </row>
    <row r="128" ht="15.75" customHeight="1">
      <c r="B128" t="str">
        <f t="shared" si="1"/>
        <v>4362634.921</v>
      </c>
      <c r="C128" s="5" t="str">
        <f t="shared" si="8"/>
        <v>198.30%</v>
      </c>
      <c r="D128" t="str">
        <f t="shared" si="2"/>
        <v>1.28</v>
      </c>
      <c r="E128" t="str">
        <f t="shared" si="3"/>
        <v>6587578.73</v>
      </c>
      <c r="G128" t="str">
        <f t="shared" si="4"/>
        <v>1.43</v>
      </c>
      <c r="H128" t="str">
        <f t="shared" si="5"/>
        <v>6892963.175</v>
      </c>
      <c r="J128" t="str">
        <f t="shared" si="6"/>
        <v>si</v>
      </c>
      <c r="K128" t="str">
        <f t="shared" si="7"/>
        <v>1.58</v>
      </c>
    </row>
    <row r="129" ht="15.75" customHeight="1">
      <c r="B129" t="str">
        <f t="shared" si="1"/>
        <v>4384634.921</v>
      </c>
      <c r="C129" s="5" t="str">
        <f t="shared" si="8"/>
        <v>199.30%</v>
      </c>
      <c r="D129" t="str">
        <f t="shared" si="2"/>
        <v>1.28</v>
      </c>
      <c r="E129" t="str">
        <f t="shared" si="3"/>
        <v>6620798.73</v>
      </c>
      <c r="G129" t="str">
        <f t="shared" si="4"/>
        <v>1.43</v>
      </c>
      <c r="H129" t="str">
        <f t="shared" si="5"/>
        <v>6927723.175</v>
      </c>
      <c r="J129" t="str">
        <f t="shared" si="6"/>
        <v>si</v>
      </c>
      <c r="K129" t="str">
        <f t="shared" si="7"/>
        <v>1.58</v>
      </c>
    </row>
    <row r="130" ht="15.75" customHeight="1">
      <c r="B130" t="str">
        <f t="shared" si="1"/>
        <v>4406634.921</v>
      </c>
      <c r="C130" s="5" t="str">
        <f t="shared" si="8"/>
        <v>200.30%</v>
      </c>
      <c r="D130" t="str">
        <f t="shared" si="2"/>
        <v>1.44</v>
      </c>
      <c r="E130" t="str">
        <f t="shared" si="3"/>
        <v>7359080.317</v>
      </c>
      <c r="G130" t="str">
        <f t="shared" si="4"/>
        <v>1.59</v>
      </c>
      <c r="H130" t="str">
        <f t="shared" si="5"/>
        <v>7667544.762</v>
      </c>
      <c r="J130" t="str">
        <f t="shared" si="6"/>
        <v>si</v>
      </c>
      <c r="K130" t="str">
        <f t="shared" si="7"/>
        <v>1.74</v>
      </c>
    </row>
    <row r="131" ht="15.75" customHeight="1">
      <c r="B131" t="str">
        <f t="shared" si="1"/>
        <v>4428634.921</v>
      </c>
      <c r="C131" s="5" t="str">
        <f t="shared" si="8"/>
        <v>201.30%</v>
      </c>
      <c r="D131" t="str">
        <f t="shared" si="2"/>
        <v>1.44</v>
      </c>
      <c r="E131" t="str">
        <f t="shared" si="3"/>
        <v>7395820.317</v>
      </c>
      <c r="G131" t="str">
        <f t="shared" si="4"/>
        <v>1.59</v>
      </c>
      <c r="H131" t="str">
        <f t="shared" si="5"/>
        <v>7705824.762</v>
      </c>
      <c r="J131" t="str">
        <f t="shared" si="6"/>
        <v>si</v>
      </c>
      <c r="K131" t="str">
        <f t="shared" si="7"/>
        <v>1.74</v>
      </c>
    </row>
    <row r="132" ht="15.75" customHeight="1">
      <c r="B132" t="str">
        <f t="shared" si="1"/>
        <v>4450634.921</v>
      </c>
      <c r="C132" s="5" t="str">
        <f t="shared" si="8"/>
        <v>202.30%</v>
      </c>
      <c r="D132" t="str">
        <f t="shared" si="2"/>
        <v>1.44</v>
      </c>
      <c r="E132" t="str">
        <f t="shared" si="3"/>
        <v>7432560.317</v>
      </c>
      <c r="G132" t="str">
        <f t="shared" si="4"/>
        <v>1.59</v>
      </c>
      <c r="H132" t="str">
        <f t="shared" si="5"/>
        <v>7744104.762</v>
      </c>
      <c r="J132" t="str">
        <f t="shared" si="6"/>
        <v>si</v>
      </c>
      <c r="K132" t="str">
        <f t="shared" si="7"/>
        <v>1.74</v>
      </c>
    </row>
    <row r="133" ht="15.75" customHeight="1">
      <c r="B133" t="str">
        <f t="shared" si="1"/>
        <v>4472634.921</v>
      </c>
      <c r="C133" s="5" t="str">
        <f t="shared" si="8"/>
        <v>203.30%</v>
      </c>
      <c r="D133" t="str">
        <f t="shared" si="2"/>
        <v>1.44</v>
      </c>
      <c r="E133" t="str">
        <f t="shared" si="3"/>
        <v>7469300.317</v>
      </c>
      <c r="G133" t="str">
        <f t="shared" si="4"/>
        <v>1.59</v>
      </c>
      <c r="H133" t="str">
        <f t="shared" si="5"/>
        <v>7782384.762</v>
      </c>
      <c r="J133" t="str">
        <f t="shared" si="6"/>
        <v>si</v>
      </c>
      <c r="K133" t="str">
        <f t="shared" si="7"/>
        <v>1.74</v>
      </c>
    </row>
    <row r="134" ht="15.75" customHeight="1">
      <c r="B134" t="str">
        <f t="shared" si="1"/>
        <v>4494634.921</v>
      </c>
      <c r="C134" s="5" t="str">
        <f t="shared" si="8"/>
        <v>204.30%</v>
      </c>
      <c r="D134" t="str">
        <f t="shared" si="2"/>
        <v>1.44</v>
      </c>
      <c r="E134" t="str">
        <f t="shared" si="3"/>
        <v>7506040.317</v>
      </c>
      <c r="G134" t="str">
        <f t="shared" si="4"/>
        <v>1.59</v>
      </c>
      <c r="H134" t="str">
        <f t="shared" si="5"/>
        <v>7820664.762</v>
      </c>
      <c r="J134" t="str">
        <f t="shared" si="6"/>
        <v>si</v>
      </c>
      <c r="K134" t="str">
        <f t="shared" si="7"/>
        <v>1.74</v>
      </c>
    </row>
    <row r="135" ht="15.75" customHeight="1">
      <c r="B135" t="str">
        <f t="shared" si="1"/>
        <v>4516634.921</v>
      </c>
      <c r="C135" s="5" t="str">
        <f t="shared" si="8"/>
        <v>205.30%</v>
      </c>
      <c r="D135" t="str">
        <f t="shared" si="2"/>
        <v>1.44</v>
      </c>
      <c r="E135" t="str">
        <f t="shared" si="3"/>
        <v>7542780.317</v>
      </c>
      <c r="G135" t="str">
        <f t="shared" si="4"/>
        <v>1.59</v>
      </c>
      <c r="H135" t="str">
        <f t="shared" si="5"/>
        <v>7858944.762</v>
      </c>
      <c r="J135" t="str">
        <f t="shared" si="6"/>
        <v>si</v>
      </c>
      <c r="K135" t="str">
        <f t="shared" si="7"/>
        <v>1.74</v>
      </c>
    </row>
    <row r="136" ht="15.75" customHeight="1">
      <c r="B136" t="str">
        <f t="shared" si="1"/>
        <v>4538634.921</v>
      </c>
      <c r="C136" s="5" t="str">
        <f t="shared" si="8"/>
        <v>206.30%</v>
      </c>
      <c r="D136" t="str">
        <f t="shared" si="2"/>
        <v>1.44</v>
      </c>
      <c r="E136" t="str">
        <f t="shared" si="3"/>
        <v>7579520.317</v>
      </c>
      <c r="G136" t="str">
        <f t="shared" si="4"/>
        <v>1.59</v>
      </c>
      <c r="H136" t="str">
        <f t="shared" si="5"/>
        <v>7897224.762</v>
      </c>
      <c r="J136" t="str">
        <f t="shared" si="6"/>
        <v>si</v>
      </c>
      <c r="K136" t="str">
        <f t="shared" si="7"/>
        <v>1.74</v>
      </c>
    </row>
    <row r="137" ht="15.75" customHeight="1">
      <c r="B137" t="str">
        <f t="shared" si="1"/>
        <v>4560634.921</v>
      </c>
      <c r="C137" s="5" t="str">
        <f t="shared" si="8"/>
        <v>207.30%</v>
      </c>
      <c r="D137" t="str">
        <f t="shared" si="2"/>
        <v>1.44</v>
      </c>
      <c r="E137" t="str">
        <f t="shared" si="3"/>
        <v>7616260.317</v>
      </c>
      <c r="G137" t="str">
        <f t="shared" si="4"/>
        <v>1.59</v>
      </c>
      <c r="H137" t="str">
        <f t="shared" si="5"/>
        <v>7935504.762</v>
      </c>
      <c r="J137" t="str">
        <f t="shared" si="6"/>
        <v>si</v>
      </c>
      <c r="K137" t="str">
        <f t="shared" si="7"/>
        <v>1.74</v>
      </c>
    </row>
    <row r="138" ht="15.75" customHeight="1">
      <c r="B138" t="str">
        <f t="shared" si="1"/>
        <v>4582634.921</v>
      </c>
      <c r="C138" s="5" t="str">
        <f t="shared" si="8"/>
        <v>208.30%</v>
      </c>
      <c r="D138" t="str">
        <f t="shared" si="2"/>
        <v>1.44</v>
      </c>
      <c r="E138" t="str">
        <f t="shared" si="3"/>
        <v>7653000.317</v>
      </c>
      <c r="G138" t="str">
        <f t="shared" si="4"/>
        <v>1.59</v>
      </c>
      <c r="H138" t="str">
        <f t="shared" si="5"/>
        <v>7973784.762</v>
      </c>
      <c r="J138" t="str">
        <f t="shared" si="6"/>
        <v>si</v>
      </c>
      <c r="K138" t="str">
        <f t="shared" si="7"/>
        <v>1.74</v>
      </c>
    </row>
    <row r="139" ht="15.75" customHeight="1">
      <c r="B139" t="str">
        <f t="shared" si="1"/>
        <v>4604634.921</v>
      </c>
      <c r="C139" s="5" t="str">
        <f t="shared" si="8"/>
        <v>209.30%</v>
      </c>
      <c r="D139" t="str">
        <f t="shared" si="2"/>
        <v>1.44</v>
      </c>
      <c r="E139" t="str">
        <f t="shared" si="3"/>
        <v>7689740.317</v>
      </c>
      <c r="G139" t="str">
        <f t="shared" si="4"/>
        <v>1.59</v>
      </c>
      <c r="H139" t="str">
        <f t="shared" si="5"/>
        <v>8012064.762</v>
      </c>
      <c r="J139" t="str">
        <f t="shared" si="6"/>
        <v>si</v>
      </c>
      <c r="K139" t="str">
        <f t="shared" si="7"/>
        <v>1.74</v>
      </c>
    </row>
    <row r="140" ht="15.75" customHeight="1">
      <c r="B140" t="str">
        <f t="shared" si="1"/>
        <v>4626634.921</v>
      </c>
      <c r="C140" s="5" t="str">
        <f t="shared" si="8"/>
        <v>210.30%</v>
      </c>
      <c r="D140" t="str">
        <f t="shared" si="2"/>
        <v>1.44</v>
      </c>
      <c r="E140" t="str">
        <f t="shared" si="3"/>
        <v>7726480.317</v>
      </c>
      <c r="G140" t="str">
        <f t="shared" si="4"/>
        <v>1.59</v>
      </c>
      <c r="H140" t="str">
        <f t="shared" si="5"/>
        <v>8050344.762</v>
      </c>
      <c r="J140" t="str">
        <f t="shared" si="6"/>
        <v>si</v>
      </c>
      <c r="K140" t="str">
        <f t="shared" si="7"/>
        <v>1.74</v>
      </c>
    </row>
    <row r="141" ht="15.75" customHeight="1">
      <c r="B141" t="str">
        <f t="shared" si="1"/>
        <v>4648634.921</v>
      </c>
      <c r="C141" s="5" t="str">
        <f t="shared" si="8"/>
        <v>211.30%</v>
      </c>
      <c r="D141" t="str">
        <f t="shared" si="2"/>
        <v>1.44</v>
      </c>
      <c r="E141" t="str">
        <f t="shared" si="3"/>
        <v>7763220.317</v>
      </c>
      <c r="G141" t="str">
        <f t="shared" si="4"/>
        <v>1.59</v>
      </c>
      <c r="H141" t="str">
        <f t="shared" si="5"/>
        <v>8088624.762</v>
      </c>
      <c r="J141" t="str">
        <f t="shared" si="6"/>
        <v>si</v>
      </c>
      <c r="K141" t="str">
        <f t="shared" si="7"/>
        <v>1.74</v>
      </c>
    </row>
    <row r="142" ht="15.75" customHeight="1">
      <c r="B142" t="str">
        <f t="shared" si="1"/>
        <v>4670634.921</v>
      </c>
      <c r="C142" s="5" t="str">
        <f t="shared" si="8"/>
        <v>212.30%</v>
      </c>
      <c r="D142" t="str">
        <f t="shared" si="2"/>
        <v>1.44</v>
      </c>
      <c r="E142" t="str">
        <f t="shared" si="3"/>
        <v>7799960.317</v>
      </c>
      <c r="G142" t="str">
        <f t="shared" si="4"/>
        <v>1.59</v>
      </c>
      <c r="H142" t="str">
        <f t="shared" si="5"/>
        <v>8126904.762</v>
      </c>
      <c r="J142" t="str">
        <f t="shared" si="6"/>
        <v>si</v>
      </c>
      <c r="K142" t="str">
        <f t="shared" si="7"/>
        <v>1.74</v>
      </c>
    </row>
    <row r="143" ht="15.75" customHeight="1">
      <c r="B143" t="str">
        <f t="shared" si="1"/>
        <v>4692634.921</v>
      </c>
      <c r="C143" s="5" t="str">
        <f t="shared" si="8"/>
        <v>213.30%</v>
      </c>
      <c r="D143" t="str">
        <f t="shared" si="2"/>
        <v>1.44</v>
      </c>
      <c r="E143" t="str">
        <f t="shared" si="3"/>
        <v>7836700.317</v>
      </c>
      <c r="G143" t="str">
        <f t="shared" si="4"/>
        <v>1.59</v>
      </c>
      <c r="H143" t="str">
        <f t="shared" si="5"/>
        <v>8165184.762</v>
      </c>
      <c r="J143" t="str">
        <f t="shared" si="6"/>
        <v>si</v>
      </c>
      <c r="K143" t="str">
        <f t="shared" si="7"/>
        <v>1.74</v>
      </c>
    </row>
    <row r="144" ht="15.75" customHeight="1">
      <c r="B144" t="str">
        <f t="shared" si="1"/>
        <v>4714634.921</v>
      </c>
      <c r="C144" s="5" t="str">
        <f t="shared" si="8"/>
        <v>214.30%</v>
      </c>
      <c r="D144" t="str">
        <f t="shared" si="2"/>
        <v>1.44</v>
      </c>
      <c r="E144" t="str">
        <f t="shared" si="3"/>
        <v>7873440.317</v>
      </c>
      <c r="G144" t="str">
        <f t="shared" si="4"/>
        <v>1.59</v>
      </c>
      <c r="H144" t="str">
        <f t="shared" si="5"/>
        <v>8203464.762</v>
      </c>
      <c r="J144" t="str">
        <f t="shared" si="6"/>
        <v>si</v>
      </c>
      <c r="K144" t="str">
        <f t="shared" si="7"/>
        <v>1.74</v>
      </c>
    </row>
    <row r="145" ht="15.75" customHeight="1">
      <c r="B145" t="str">
        <f t="shared" si="1"/>
        <v>4736634.921</v>
      </c>
      <c r="C145" s="5" t="str">
        <f t="shared" si="8"/>
        <v>215.30%</v>
      </c>
      <c r="D145" t="str">
        <f t="shared" si="2"/>
        <v>1.44</v>
      </c>
      <c r="E145" t="str">
        <f t="shared" si="3"/>
        <v>7910180.317</v>
      </c>
      <c r="G145" t="str">
        <f t="shared" si="4"/>
        <v>1.59</v>
      </c>
      <c r="H145" t="str">
        <f t="shared" si="5"/>
        <v>8241744.762</v>
      </c>
      <c r="J145" t="str">
        <f t="shared" si="6"/>
        <v>si</v>
      </c>
      <c r="K145" t="str">
        <f t="shared" si="7"/>
        <v>1.74</v>
      </c>
    </row>
    <row r="146" ht="15.75" customHeight="1">
      <c r="B146" t="str">
        <f t="shared" si="1"/>
        <v>4758634.921</v>
      </c>
      <c r="C146" s="5" t="str">
        <f t="shared" si="8"/>
        <v>216.30%</v>
      </c>
      <c r="D146" t="str">
        <f t="shared" si="2"/>
        <v>1.44</v>
      </c>
      <c r="E146" t="str">
        <f t="shared" si="3"/>
        <v>7946920.317</v>
      </c>
      <c r="G146" t="str">
        <f t="shared" si="4"/>
        <v>1.59</v>
      </c>
      <c r="H146" t="str">
        <f t="shared" si="5"/>
        <v>8280024.762</v>
      </c>
      <c r="J146" t="str">
        <f t="shared" si="6"/>
        <v>si</v>
      </c>
      <c r="K146" t="str">
        <f t="shared" si="7"/>
        <v>1.74</v>
      </c>
    </row>
    <row r="147" ht="15.75" customHeight="1">
      <c r="B147" t="str">
        <f t="shared" si="1"/>
        <v>4780634.921</v>
      </c>
      <c r="C147" s="5" t="str">
        <f t="shared" si="8"/>
        <v>217.30%</v>
      </c>
      <c r="D147" t="str">
        <f t="shared" si="2"/>
        <v>1.44</v>
      </c>
      <c r="E147" t="str">
        <f t="shared" si="3"/>
        <v>7983660.317</v>
      </c>
      <c r="G147" t="str">
        <f t="shared" si="4"/>
        <v>1.59</v>
      </c>
      <c r="H147" t="str">
        <f t="shared" si="5"/>
        <v>8318304.762</v>
      </c>
      <c r="J147" t="str">
        <f t="shared" si="6"/>
        <v>si</v>
      </c>
      <c r="K147" t="str">
        <f t="shared" si="7"/>
        <v>1.74</v>
      </c>
    </row>
    <row r="148" ht="15.75" customHeight="1">
      <c r="B148" t="str">
        <f t="shared" si="1"/>
        <v>4802634.921</v>
      </c>
      <c r="C148" s="5" t="str">
        <f t="shared" si="8"/>
        <v>218.30%</v>
      </c>
      <c r="D148" t="str">
        <f t="shared" si="2"/>
        <v>1.44</v>
      </c>
      <c r="E148" t="str">
        <f t="shared" si="3"/>
        <v>8020400.317</v>
      </c>
      <c r="G148" t="str">
        <f t="shared" si="4"/>
        <v>1.59</v>
      </c>
      <c r="H148" t="str">
        <f t="shared" si="5"/>
        <v>8356584.762</v>
      </c>
      <c r="J148" t="str">
        <f t="shared" si="6"/>
        <v>si</v>
      </c>
      <c r="K148" t="str">
        <f t="shared" si="7"/>
        <v>1.74</v>
      </c>
    </row>
    <row r="149" ht="15.75" customHeight="1">
      <c r="B149" t="str">
        <f t="shared" si="1"/>
        <v>4824634.921</v>
      </c>
      <c r="C149" s="5" t="str">
        <f t="shared" si="8"/>
        <v>219.30%</v>
      </c>
      <c r="D149" t="str">
        <f t="shared" si="2"/>
        <v>1.44</v>
      </c>
      <c r="E149" t="str">
        <f t="shared" si="3"/>
        <v>8057140.317</v>
      </c>
      <c r="G149" t="str">
        <f t="shared" si="4"/>
        <v>1.59</v>
      </c>
      <c r="H149" t="str">
        <f t="shared" si="5"/>
        <v>8394864.762</v>
      </c>
      <c r="J149" t="str">
        <f t="shared" si="6"/>
        <v>si</v>
      </c>
      <c r="K149" t="str">
        <f t="shared" si="7"/>
        <v>1.74</v>
      </c>
    </row>
    <row r="150" ht="15.75" customHeight="1">
      <c r="B150" t="str">
        <f t="shared" si="1"/>
        <v>4846634.921</v>
      </c>
      <c r="C150" s="5" t="str">
        <f t="shared" si="8"/>
        <v>220.30%</v>
      </c>
      <c r="D150" t="str">
        <f t="shared" si="2"/>
        <v>1.44</v>
      </c>
      <c r="E150" t="str">
        <f t="shared" si="3"/>
        <v>8093880.317</v>
      </c>
      <c r="G150" t="str">
        <f t="shared" si="4"/>
        <v>1.59</v>
      </c>
      <c r="H150" t="str">
        <f t="shared" si="5"/>
        <v>8433144.762</v>
      </c>
      <c r="J150" t="str">
        <f t="shared" si="6"/>
        <v>si</v>
      </c>
      <c r="K150" t="str">
        <f t="shared" si="7"/>
        <v>1.74</v>
      </c>
    </row>
    <row r="151" ht="15.75" customHeight="1">
      <c r="B151" t="str">
        <f t="shared" si="1"/>
        <v>4868634.921</v>
      </c>
      <c r="C151" s="5" t="str">
        <f t="shared" si="8"/>
        <v>221.30%</v>
      </c>
      <c r="D151" t="str">
        <f t="shared" si="2"/>
        <v>1.44</v>
      </c>
      <c r="E151" t="str">
        <f t="shared" si="3"/>
        <v>8130620.317</v>
      </c>
      <c r="G151" t="str">
        <f t="shared" si="4"/>
        <v>1.59</v>
      </c>
      <c r="H151" t="str">
        <f t="shared" si="5"/>
        <v>8471424.762</v>
      </c>
      <c r="J151" t="str">
        <f t="shared" si="6"/>
        <v>si</v>
      </c>
      <c r="K151" t="str">
        <f t="shared" si="7"/>
        <v>1.74</v>
      </c>
    </row>
    <row r="152" ht="15.75" customHeight="1">
      <c r="B152" t="str">
        <f t="shared" si="1"/>
        <v>4890634.921</v>
      </c>
      <c r="C152" s="5" t="str">
        <f t="shared" si="8"/>
        <v>222.30%</v>
      </c>
      <c r="D152" t="str">
        <f t="shared" si="2"/>
        <v>1.44</v>
      </c>
      <c r="E152" t="str">
        <f t="shared" si="3"/>
        <v>8167360.317</v>
      </c>
      <c r="G152" t="str">
        <f t="shared" si="4"/>
        <v>1.59</v>
      </c>
      <c r="H152" t="str">
        <f t="shared" si="5"/>
        <v>8509704.762</v>
      </c>
      <c r="J152" t="str">
        <f t="shared" si="6"/>
        <v>si</v>
      </c>
      <c r="K152" t="str">
        <f t="shared" si="7"/>
        <v>1.74</v>
      </c>
    </row>
    <row r="153" ht="15.75" customHeight="1">
      <c r="B153" t="str">
        <f t="shared" si="1"/>
        <v>4912634.921</v>
      </c>
      <c r="C153" s="5" t="str">
        <f t="shared" si="8"/>
        <v>223.30%</v>
      </c>
      <c r="D153" t="str">
        <f t="shared" si="2"/>
        <v>1.44</v>
      </c>
      <c r="E153" t="str">
        <f t="shared" si="3"/>
        <v>8204100.317</v>
      </c>
      <c r="G153" t="str">
        <f t="shared" si="4"/>
        <v>1.59</v>
      </c>
      <c r="H153" t="str">
        <f t="shared" si="5"/>
        <v>8547984.762</v>
      </c>
      <c r="J153" t="str">
        <f t="shared" si="6"/>
        <v>si</v>
      </c>
      <c r="K153" t="str">
        <f t="shared" si="7"/>
        <v>1.74</v>
      </c>
    </row>
    <row r="154" ht="15.75" customHeight="1">
      <c r="B154" t="str">
        <f t="shared" si="1"/>
        <v>4934634.921</v>
      </c>
      <c r="C154" s="5" t="str">
        <f t="shared" si="8"/>
        <v>224.30%</v>
      </c>
      <c r="D154" t="str">
        <f t="shared" si="2"/>
        <v>1.44</v>
      </c>
      <c r="E154" t="str">
        <f t="shared" si="3"/>
        <v>8240840.317</v>
      </c>
      <c r="G154" t="str">
        <f t="shared" si="4"/>
        <v>1.59</v>
      </c>
      <c r="H154" t="str">
        <f t="shared" si="5"/>
        <v>8586264.762</v>
      </c>
      <c r="J154" t="str">
        <f t="shared" si="6"/>
        <v>si</v>
      </c>
      <c r="K154" t="str">
        <f t="shared" si="7"/>
        <v>1.74</v>
      </c>
    </row>
    <row r="155" ht="15.75" customHeight="1">
      <c r="B155" t="str">
        <f t="shared" si="1"/>
        <v>4956634.921</v>
      </c>
      <c r="C155" s="5" t="str">
        <f t="shared" si="8"/>
        <v>225.30%</v>
      </c>
      <c r="D155" t="str">
        <f t="shared" si="2"/>
        <v>1.44</v>
      </c>
      <c r="E155" t="str">
        <f t="shared" si="3"/>
        <v>8277580.317</v>
      </c>
      <c r="G155" t="str">
        <f t="shared" si="4"/>
        <v>1.59</v>
      </c>
      <c r="H155" t="str">
        <f t="shared" si="5"/>
        <v>8624544.762</v>
      </c>
      <c r="J155" t="str">
        <f t="shared" si="6"/>
        <v>si</v>
      </c>
      <c r="K155" t="str">
        <f t="shared" si="7"/>
        <v>1.74</v>
      </c>
    </row>
    <row r="156" ht="15.75" customHeight="1">
      <c r="B156" t="str">
        <f t="shared" si="1"/>
        <v>4978634.921</v>
      </c>
      <c r="C156" s="5" t="str">
        <f t="shared" si="8"/>
        <v>226.30%</v>
      </c>
      <c r="D156" t="str">
        <f t="shared" si="2"/>
        <v>1.44</v>
      </c>
      <c r="E156" t="str">
        <f t="shared" si="3"/>
        <v>8314320.317</v>
      </c>
      <c r="G156" t="str">
        <f t="shared" si="4"/>
        <v>1.59</v>
      </c>
      <c r="H156" t="str">
        <f t="shared" si="5"/>
        <v>8662824.762</v>
      </c>
      <c r="J156" t="str">
        <f t="shared" si="6"/>
        <v>si</v>
      </c>
      <c r="K156" t="str">
        <f t="shared" si="7"/>
        <v>1.74</v>
      </c>
    </row>
    <row r="157" ht="15.75" customHeight="1">
      <c r="B157" t="str">
        <f t="shared" si="1"/>
        <v>5000634.921</v>
      </c>
      <c r="C157" s="5" t="str">
        <f t="shared" si="8"/>
        <v>227.30%</v>
      </c>
      <c r="D157" t="str">
        <f t="shared" si="2"/>
        <v>1.44</v>
      </c>
      <c r="E157" t="str">
        <f t="shared" si="3"/>
        <v>8351060.317</v>
      </c>
      <c r="G157" t="str">
        <f t="shared" si="4"/>
        <v>1.59</v>
      </c>
      <c r="H157" t="str">
        <f t="shared" si="5"/>
        <v>8701104.762</v>
      </c>
      <c r="J157" t="str">
        <f t="shared" si="6"/>
        <v>si</v>
      </c>
      <c r="K157" t="str">
        <f t="shared" si="7"/>
        <v>1.74</v>
      </c>
    </row>
    <row r="158" ht="15.75" customHeight="1">
      <c r="B158" t="str">
        <f t="shared" si="1"/>
        <v>5022634.921</v>
      </c>
      <c r="C158" s="5" t="str">
        <f t="shared" si="8"/>
        <v>228.30%</v>
      </c>
      <c r="D158" t="str">
        <f t="shared" si="2"/>
        <v>1.44</v>
      </c>
      <c r="E158" t="str">
        <f t="shared" si="3"/>
        <v>8387800.317</v>
      </c>
      <c r="G158" t="str">
        <f t="shared" si="4"/>
        <v>1.59</v>
      </c>
      <c r="H158" t="str">
        <f t="shared" si="5"/>
        <v>8739384.762</v>
      </c>
      <c r="J158" t="str">
        <f t="shared" si="6"/>
        <v>si</v>
      </c>
      <c r="K158" t="str">
        <f t="shared" si="7"/>
        <v>1.74</v>
      </c>
    </row>
    <row r="159" ht="15.75" customHeight="1">
      <c r="B159" t="str">
        <f t="shared" si="1"/>
        <v>5044634.921</v>
      </c>
      <c r="C159" s="5" t="str">
        <f t="shared" si="8"/>
        <v>229.30%</v>
      </c>
      <c r="D159" t="str">
        <f t="shared" si="2"/>
        <v>1.44</v>
      </c>
      <c r="E159" t="str">
        <f t="shared" si="3"/>
        <v>8424540.317</v>
      </c>
      <c r="G159" t="str">
        <f t="shared" si="4"/>
        <v>1.59</v>
      </c>
      <c r="H159" t="str">
        <f t="shared" si="5"/>
        <v>8777664.762</v>
      </c>
      <c r="J159" t="str">
        <f t="shared" si="6"/>
        <v>si</v>
      </c>
      <c r="K159" t="str">
        <f t="shared" si="7"/>
        <v>1.74</v>
      </c>
    </row>
    <row r="160" ht="15.75" customHeight="1">
      <c r="B160" t="str">
        <f t="shared" si="1"/>
        <v>5066634.921</v>
      </c>
      <c r="C160" s="5" t="str">
        <f t="shared" si="8"/>
        <v>230.30%</v>
      </c>
      <c r="D160" t="str">
        <f t="shared" si="2"/>
        <v>1.44</v>
      </c>
      <c r="E160" t="str">
        <f t="shared" si="3"/>
        <v>8461280.317</v>
      </c>
      <c r="G160" t="str">
        <f t="shared" si="4"/>
        <v>1.59</v>
      </c>
      <c r="H160" t="str">
        <f t="shared" si="5"/>
        <v>8815944.762</v>
      </c>
      <c r="J160" t="str">
        <f t="shared" si="6"/>
        <v>si</v>
      </c>
      <c r="K160" t="str">
        <f t="shared" si="7"/>
        <v>1.74</v>
      </c>
    </row>
    <row r="161" ht="15.75" customHeight="1">
      <c r="B161" t="str">
        <f t="shared" si="1"/>
        <v>5088634.921</v>
      </c>
      <c r="C161" s="5" t="str">
        <f t="shared" si="8"/>
        <v>231.30%</v>
      </c>
      <c r="D161" t="str">
        <f t="shared" si="2"/>
        <v>1.44</v>
      </c>
      <c r="E161" t="str">
        <f t="shared" si="3"/>
        <v>8498020.317</v>
      </c>
      <c r="G161" t="str">
        <f t="shared" si="4"/>
        <v>1.59</v>
      </c>
      <c r="H161" t="str">
        <f t="shared" si="5"/>
        <v>8854224.762</v>
      </c>
      <c r="J161" t="str">
        <f t="shared" si="6"/>
        <v>si</v>
      </c>
      <c r="K161" t="str">
        <f t="shared" si="7"/>
        <v>1.74</v>
      </c>
    </row>
    <row r="162" ht="15.75" customHeight="1">
      <c r="B162" t="str">
        <f t="shared" si="1"/>
        <v>5110634.921</v>
      </c>
      <c r="C162" s="5" t="str">
        <f t="shared" si="8"/>
        <v>232.30%</v>
      </c>
      <c r="D162" t="str">
        <f t="shared" si="2"/>
        <v>1.44</v>
      </c>
      <c r="E162" t="str">
        <f t="shared" si="3"/>
        <v>8534760.317</v>
      </c>
      <c r="G162" t="str">
        <f t="shared" si="4"/>
        <v>1.59</v>
      </c>
      <c r="H162" t="str">
        <f t="shared" si="5"/>
        <v>8892504.762</v>
      </c>
      <c r="J162" t="str">
        <f t="shared" si="6"/>
        <v>si</v>
      </c>
      <c r="K162" t="str">
        <f t="shared" si="7"/>
        <v>1.74</v>
      </c>
    </row>
    <row r="163" ht="15.75" customHeight="1">
      <c r="B163" t="str">
        <f t="shared" si="1"/>
        <v>5132634.921</v>
      </c>
      <c r="C163" s="5" t="str">
        <f t="shared" si="8"/>
        <v>233.30%</v>
      </c>
      <c r="D163" t="str">
        <f t="shared" si="2"/>
        <v>1.44</v>
      </c>
      <c r="E163" t="str">
        <f t="shared" si="3"/>
        <v>8571500.317</v>
      </c>
      <c r="G163" t="str">
        <f t="shared" si="4"/>
        <v>1.59</v>
      </c>
      <c r="H163" t="str">
        <f t="shared" si="5"/>
        <v>8930784.762</v>
      </c>
      <c r="J163" t="str">
        <f t="shared" si="6"/>
        <v>si</v>
      </c>
      <c r="K163" t="str">
        <f t="shared" si="7"/>
        <v>1.74</v>
      </c>
    </row>
    <row r="164" ht="15.75" customHeight="1">
      <c r="B164" t="str">
        <f t="shared" si="1"/>
        <v>5154634.921</v>
      </c>
      <c r="C164" s="5" t="str">
        <f t="shared" si="8"/>
        <v>234.30%</v>
      </c>
      <c r="D164" t="str">
        <f t="shared" si="2"/>
        <v>1.44</v>
      </c>
      <c r="E164" t="str">
        <f t="shared" si="3"/>
        <v>8608240.317</v>
      </c>
      <c r="G164" t="str">
        <f t="shared" si="4"/>
        <v>1.59</v>
      </c>
      <c r="H164" t="str">
        <f t="shared" si="5"/>
        <v>8969064.762</v>
      </c>
      <c r="J164" t="str">
        <f t="shared" si="6"/>
        <v>si</v>
      </c>
      <c r="K164" t="str">
        <f t="shared" si="7"/>
        <v>1.74</v>
      </c>
    </row>
    <row r="165" ht="15.75" customHeight="1">
      <c r="B165" t="str">
        <f t="shared" si="1"/>
        <v>5176634.921</v>
      </c>
      <c r="C165" s="5" t="str">
        <f t="shared" si="8"/>
        <v>235.30%</v>
      </c>
      <c r="D165" t="str">
        <f t="shared" si="2"/>
        <v>1.44</v>
      </c>
      <c r="E165" t="str">
        <f t="shared" si="3"/>
        <v>8644980.317</v>
      </c>
      <c r="G165" t="str">
        <f t="shared" si="4"/>
        <v>1.59</v>
      </c>
      <c r="H165" t="str">
        <f t="shared" si="5"/>
        <v>9007344.762</v>
      </c>
      <c r="J165" t="str">
        <f t="shared" si="6"/>
        <v>si</v>
      </c>
      <c r="K165" t="str">
        <f t="shared" si="7"/>
        <v>1.74</v>
      </c>
    </row>
    <row r="166" ht="15.75" customHeight="1">
      <c r="B166" t="str">
        <f t="shared" si="1"/>
        <v>5198634.921</v>
      </c>
      <c r="C166" s="5" t="str">
        <f t="shared" si="8"/>
        <v>236.30%</v>
      </c>
      <c r="D166" t="str">
        <f t="shared" si="2"/>
        <v>1.44</v>
      </c>
      <c r="E166" t="str">
        <f t="shared" si="3"/>
        <v>8681720.317</v>
      </c>
      <c r="G166" t="str">
        <f t="shared" si="4"/>
        <v>1.59</v>
      </c>
      <c r="H166" t="str">
        <f t="shared" si="5"/>
        <v>9045624.762</v>
      </c>
      <c r="J166" t="str">
        <f t="shared" si="6"/>
        <v>si</v>
      </c>
      <c r="K166" t="str">
        <f t="shared" si="7"/>
        <v>1.74</v>
      </c>
    </row>
    <row r="167" ht="15.75" customHeight="1">
      <c r="B167" t="str">
        <f t="shared" si="1"/>
        <v>5220634.921</v>
      </c>
      <c r="C167" s="5" t="str">
        <f t="shared" si="8"/>
        <v>237.30%</v>
      </c>
      <c r="D167" t="str">
        <f t="shared" si="2"/>
        <v>1.44</v>
      </c>
      <c r="E167" t="str">
        <f t="shared" si="3"/>
        <v>8718460.317</v>
      </c>
      <c r="G167" t="str">
        <f t="shared" si="4"/>
        <v>1.59</v>
      </c>
      <c r="H167" t="str">
        <f t="shared" si="5"/>
        <v>9083904.762</v>
      </c>
      <c r="J167" t="str">
        <f t="shared" si="6"/>
        <v>si</v>
      </c>
      <c r="K167" t="str">
        <f t="shared" si="7"/>
        <v>1.74</v>
      </c>
    </row>
    <row r="168" ht="15.75" customHeight="1">
      <c r="B168" t="str">
        <f t="shared" si="1"/>
        <v>5242634.921</v>
      </c>
      <c r="C168" s="5" t="str">
        <f t="shared" si="8"/>
        <v>238.30%</v>
      </c>
      <c r="D168" t="str">
        <f t="shared" si="2"/>
        <v>1.44</v>
      </c>
      <c r="E168" t="str">
        <f t="shared" si="3"/>
        <v>8755200.317</v>
      </c>
      <c r="G168" t="str">
        <f t="shared" si="4"/>
        <v>1.59</v>
      </c>
      <c r="H168" t="str">
        <f t="shared" si="5"/>
        <v>9122184.762</v>
      </c>
      <c r="J168" t="str">
        <f t="shared" si="6"/>
        <v>si</v>
      </c>
      <c r="K168" t="str">
        <f t="shared" si="7"/>
        <v>1.74</v>
      </c>
    </row>
    <row r="169" ht="15.75" customHeight="1">
      <c r="B169" t="str">
        <f t="shared" si="1"/>
        <v>5264634.921</v>
      </c>
      <c r="C169" s="5" t="str">
        <f t="shared" si="8"/>
        <v>239.30%</v>
      </c>
      <c r="D169" t="str">
        <f t="shared" si="2"/>
        <v>1.44</v>
      </c>
      <c r="E169" t="str">
        <f t="shared" si="3"/>
        <v>8791940.317</v>
      </c>
      <c r="G169" t="str">
        <f t="shared" si="4"/>
        <v>1.59</v>
      </c>
      <c r="H169" t="str">
        <f t="shared" si="5"/>
        <v>9160464.762</v>
      </c>
      <c r="J169" t="str">
        <f t="shared" si="6"/>
        <v>si</v>
      </c>
      <c r="K169" t="str">
        <f t="shared" si="7"/>
        <v>1.74</v>
      </c>
    </row>
    <row r="170" ht="15.75" customHeight="1">
      <c r="B170" t="str">
        <f t="shared" si="1"/>
        <v>5286634.921</v>
      </c>
      <c r="C170" s="5" t="str">
        <f t="shared" si="8"/>
        <v>240.30%</v>
      </c>
      <c r="D170" t="str">
        <f t="shared" si="2"/>
        <v>1.44</v>
      </c>
      <c r="E170" t="str">
        <f t="shared" si="3"/>
        <v>8828680.317</v>
      </c>
      <c r="G170" t="str">
        <f t="shared" si="4"/>
        <v>1.59</v>
      </c>
      <c r="H170" t="str">
        <f t="shared" si="5"/>
        <v>9198744.762</v>
      </c>
      <c r="J170" t="str">
        <f t="shared" si="6"/>
        <v>si</v>
      </c>
      <c r="K170" t="str">
        <f t="shared" si="7"/>
        <v>1.74</v>
      </c>
    </row>
    <row r="171" ht="15.75" customHeight="1">
      <c r="B171" t="str">
        <f t="shared" si="1"/>
        <v>5308634.921</v>
      </c>
      <c r="C171" s="5" t="str">
        <f t="shared" si="8"/>
        <v>241.30%</v>
      </c>
      <c r="D171" t="str">
        <f t="shared" si="2"/>
        <v>1.44</v>
      </c>
      <c r="E171" t="str">
        <f t="shared" si="3"/>
        <v>8865420.317</v>
      </c>
      <c r="G171" t="str">
        <f t="shared" si="4"/>
        <v>1.59</v>
      </c>
      <c r="H171" t="str">
        <f t="shared" si="5"/>
        <v>9237024.762</v>
      </c>
      <c r="J171" t="str">
        <f t="shared" si="6"/>
        <v>si</v>
      </c>
      <c r="K171" t="str">
        <f t="shared" si="7"/>
        <v>1.74</v>
      </c>
    </row>
    <row r="172" ht="15.75" customHeight="1">
      <c r="B172" t="str">
        <f t="shared" si="1"/>
        <v>5330634.921</v>
      </c>
      <c r="C172" s="5" t="str">
        <f t="shared" si="8"/>
        <v>242.30%</v>
      </c>
      <c r="D172" t="str">
        <f t="shared" si="2"/>
        <v>1.44</v>
      </c>
      <c r="E172" t="str">
        <f t="shared" si="3"/>
        <v>8902160.317</v>
      </c>
      <c r="G172" t="str">
        <f t="shared" si="4"/>
        <v>1.59</v>
      </c>
      <c r="H172" t="str">
        <f t="shared" si="5"/>
        <v>9275304.762</v>
      </c>
      <c r="J172" t="str">
        <f t="shared" si="6"/>
        <v>si</v>
      </c>
      <c r="K172" t="str">
        <f t="shared" si="7"/>
        <v>1.74</v>
      </c>
    </row>
    <row r="173" ht="15.75" customHeight="1">
      <c r="B173" t="str">
        <f t="shared" si="1"/>
        <v>5352634.921</v>
      </c>
      <c r="C173" s="5" t="str">
        <f t="shared" si="8"/>
        <v>243.30%</v>
      </c>
      <c r="D173" t="str">
        <f t="shared" si="2"/>
        <v>1.44</v>
      </c>
      <c r="E173" t="str">
        <f t="shared" si="3"/>
        <v>8938900.317</v>
      </c>
      <c r="G173" t="str">
        <f t="shared" si="4"/>
        <v>1.59</v>
      </c>
      <c r="H173" t="str">
        <f t="shared" si="5"/>
        <v>9313584.762</v>
      </c>
      <c r="J173" t="str">
        <f t="shared" si="6"/>
        <v>si</v>
      </c>
      <c r="K173" t="str">
        <f t="shared" si="7"/>
        <v>1.74</v>
      </c>
    </row>
    <row r="174" ht="15.75" customHeight="1">
      <c r="B174" t="str">
        <f t="shared" si="1"/>
        <v>5374634.921</v>
      </c>
      <c r="C174" s="5" t="str">
        <f t="shared" si="8"/>
        <v>244.30%</v>
      </c>
      <c r="D174" t="str">
        <f t="shared" si="2"/>
        <v>1.44</v>
      </c>
      <c r="E174" t="str">
        <f t="shared" si="3"/>
        <v>8975640.317</v>
      </c>
      <c r="G174" t="str">
        <f t="shared" si="4"/>
        <v>1.59</v>
      </c>
      <c r="H174" t="str">
        <f t="shared" si="5"/>
        <v>9351864.762</v>
      </c>
      <c r="J174" t="str">
        <f t="shared" si="6"/>
        <v>si</v>
      </c>
      <c r="K174" t="str">
        <f t="shared" si="7"/>
        <v>1.74</v>
      </c>
    </row>
    <row r="175" ht="15.75" customHeight="1">
      <c r="B175" t="str">
        <f t="shared" si="1"/>
        <v>5396634.921</v>
      </c>
      <c r="C175" s="5" t="str">
        <f t="shared" si="8"/>
        <v>245.30%</v>
      </c>
      <c r="D175" t="str">
        <f t="shared" si="2"/>
        <v>1.44</v>
      </c>
      <c r="E175" t="str">
        <f t="shared" si="3"/>
        <v>9012380.317</v>
      </c>
      <c r="G175" t="str">
        <f t="shared" si="4"/>
        <v>1.59</v>
      </c>
      <c r="H175" t="str">
        <f t="shared" si="5"/>
        <v>9390144.762</v>
      </c>
      <c r="J175" t="str">
        <f t="shared" si="6"/>
        <v>si</v>
      </c>
      <c r="K175" t="str">
        <f t="shared" si="7"/>
        <v>1.74</v>
      </c>
    </row>
    <row r="176" ht="15.75" customHeight="1">
      <c r="B176" t="str">
        <f t="shared" si="1"/>
        <v>5418634.921</v>
      </c>
      <c r="C176" s="5" t="str">
        <f t="shared" si="8"/>
        <v>246.30%</v>
      </c>
      <c r="D176" t="str">
        <f t="shared" si="2"/>
        <v>1.44</v>
      </c>
      <c r="E176" t="str">
        <f t="shared" si="3"/>
        <v>9049120.317</v>
      </c>
      <c r="G176" t="str">
        <f t="shared" si="4"/>
        <v>1.59</v>
      </c>
      <c r="H176" t="str">
        <f t="shared" si="5"/>
        <v>9428424.762</v>
      </c>
      <c r="J176" t="str">
        <f t="shared" si="6"/>
        <v>si</v>
      </c>
      <c r="K176" t="str">
        <f t="shared" si="7"/>
        <v>1.74</v>
      </c>
    </row>
    <row r="177" ht="15.75" customHeight="1">
      <c r="B177" t="str">
        <f t="shared" si="1"/>
        <v>5440634.921</v>
      </c>
      <c r="C177" s="5" t="str">
        <f t="shared" si="8"/>
        <v>247.30%</v>
      </c>
      <c r="D177" t="str">
        <f t="shared" si="2"/>
        <v>1.44</v>
      </c>
      <c r="E177" t="str">
        <f t="shared" si="3"/>
        <v>9085860.317</v>
      </c>
      <c r="G177" t="str">
        <f t="shared" si="4"/>
        <v>1.59</v>
      </c>
      <c r="H177" t="str">
        <f t="shared" si="5"/>
        <v>9466704.762</v>
      </c>
      <c r="J177" t="str">
        <f t="shared" si="6"/>
        <v>si</v>
      </c>
      <c r="K177" t="str">
        <f t="shared" si="7"/>
        <v>1.74</v>
      </c>
    </row>
    <row r="178" ht="15.75" customHeight="1">
      <c r="B178" t="str">
        <f t="shared" si="1"/>
        <v>5462634.921</v>
      </c>
      <c r="C178" s="5" t="str">
        <f t="shared" si="8"/>
        <v>248.30%</v>
      </c>
      <c r="D178" t="str">
        <f t="shared" si="2"/>
        <v>1.44</v>
      </c>
      <c r="E178" t="str">
        <f t="shared" si="3"/>
        <v>9122600.317</v>
      </c>
      <c r="G178" t="str">
        <f t="shared" si="4"/>
        <v>1.59</v>
      </c>
      <c r="H178" t="str">
        <f t="shared" si="5"/>
        <v>9504984.762</v>
      </c>
      <c r="J178" t="str">
        <f t="shared" si="6"/>
        <v>si</v>
      </c>
      <c r="K178" t="str">
        <f t="shared" si="7"/>
        <v>1.74</v>
      </c>
    </row>
    <row r="179" ht="15.75" customHeight="1">
      <c r="B179" t="str">
        <f t="shared" si="1"/>
        <v>5484634.921</v>
      </c>
      <c r="C179" s="5" t="str">
        <f t="shared" si="8"/>
        <v>249.30%</v>
      </c>
      <c r="D179" t="str">
        <f t="shared" si="2"/>
        <v>1.44</v>
      </c>
      <c r="E179" t="str">
        <f t="shared" si="3"/>
        <v>9159340.317</v>
      </c>
      <c r="G179" t="str">
        <f t="shared" si="4"/>
        <v>1.59</v>
      </c>
      <c r="H179" t="str">
        <f t="shared" si="5"/>
        <v>9543264.762</v>
      </c>
      <c r="J179" t="str">
        <f t="shared" si="6"/>
        <v>si</v>
      </c>
      <c r="K179" t="str">
        <f t="shared" si="7"/>
        <v>1.74</v>
      </c>
    </row>
    <row r="180" ht="15.75" customHeight="1">
      <c r="B180" t="str">
        <f t="shared" si="1"/>
        <v>5506634.921</v>
      </c>
      <c r="C180" s="5" t="str">
        <f t="shared" si="8"/>
        <v>250.30%</v>
      </c>
      <c r="D180" t="str">
        <f t="shared" si="2"/>
        <v>1.44</v>
      </c>
      <c r="E180" t="str">
        <f t="shared" si="3"/>
        <v>9196080.317</v>
      </c>
      <c r="G180" t="str">
        <f t="shared" si="4"/>
        <v>1.59</v>
      </c>
      <c r="H180" t="str">
        <f t="shared" si="5"/>
        <v>9581544.762</v>
      </c>
      <c r="J180" t="str">
        <f t="shared" si="6"/>
        <v>si</v>
      </c>
      <c r="K180" t="str">
        <f t="shared" si="7"/>
        <v>1.74</v>
      </c>
    </row>
    <row r="181" ht="15.75" customHeight="1">
      <c r="B181" t="str">
        <f t="shared" si="1"/>
        <v>5528634.921</v>
      </c>
      <c r="C181" s="5" t="str">
        <f t="shared" si="8"/>
        <v>251.30%</v>
      </c>
      <c r="D181" t="str">
        <f t="shared" si="2"/>
        <v>1.44</v>
      </c>
      <c r="E181" t="str">
        <f t="shared" si="3"/>
        <v>9232820.317</v>
      </c>
      <c r="G181" t="str">
        <f t="shared" si="4"/>
        <v>1.59</v>
      </c>
      <c r="H181" t="str">
        <f t="shared" si="5"/>
        <v>9619824.762</v>
      </c>
      <c r="J181" t="str">
        <f t="shared" si="6"/>
        <v>si</v>
      </c>
      <c r="K181" t="str">
        <f t="shared" si="7"/>
        <v>1.74</v>
      </c>
    </row>
    <row r="182" ht="15.75" customHeight="1">
      <c r="B182" t="str">
        <f t="shared" si="1"/>
        <v>5550634.921</v>
      </c>
      <c r="C182" s="5" t="str">
        <f t="shared" si="8"/>
        <v>252.30%</v>
      </c>
      <c r="D182" t="str">
        <f t="shared" si="2"/>
        <v>1.44</v>
      </c>
      <c r="E182" t="str">
        <f t="shared" si="3"/>
        <v>9269560.317</v>
      </c>
      <c r="G182" t="str">
        <f t="shared" si="4"/>
        <v>1.59</v>
      </c>
      <c r="H182" t="str">
        <f t="shared" si="5"/>
        <v>9658104.762</v>
      </c>
      <c r="J182" t="str">
        <f t="shared" si="6"/>
        <v>si</v>
      </c>
      <c r="K182" t="str">
        <f t="shared" si="7"/>
        <v>1.74</v>
      </c>
    </row>
    <row r="183" ht="15.75" customHeight="1">
      <c r="B183" t="str">
        <f t="shared" si="1"/>
        <v>5572634.921</v>
      </c>
      <c r="C183" s="5" t="str">
        <f t="shared" si="8"/>
        <v>253.30%</v>
      </c>
      <c r="D183" t="str">
        <f t="shared" si="2"/>
        <v>1.44</v>
      </c>
      <c r="E183" t="str">
        <f t="shared" si="3"/>
        <v>9306300.317</v>
      </c>
      <c r="G183" t="str">
        <f t="shared" si="4"/>
        <v>1.59</v>
      </c>
      <c r="H183" t="str">
        <f t="shared" si="5"/>
        <v>9696384.762</v>
      </c>
      <c r="J183" t="str">
        <f t="shared" si="6"/>
        <v>si</v>
      </c>
      <c r="K183" t="str">
        <f t="shared" si="7"/>
        <v>1.74</v>
      </c>
    </row>
    <row r="184" ht="15.75" customHeight="1">
      <c r="B184" t="str">
        <f t="shared" si="1"/>
        <v>5594634.921</v>
      </c>
      <c r="C184" s="5" t="str">
        <f t="shared" si="8"/>
        <v>254.30%</v>
      </c>
      <c r="D184" t="str">
        <f t="shared" si="2"/>
        <v>1.44</v>
      </c>
      <c r="E184" t="str">
        <f t="shared" si="3"/>
        <v>9343040.317</v>
      </c>
      <c r="G184" t="str">
        <f t="shared" si="4"/>
        <v>1.59</v>
      </c>
      <c r="H184" t="str">
        <f t="shared" si="5"/>
        <v>9734664.762</v>
      </c>
      <c r="J184" t="str">
        <f t="shared" si="6"/>
        <v>si</v>
      </c>
      <c r="K184" t="str">
        <f t="shared" si="7"/>
        <v>1.74</v>
      </c>
    </row>
  </sheetData>
  <dataValidations>
    <dataValidation type="list" allowBlank="1" showErrorMessage="1" sqref="F3">
      <formula1>"Pago Anticipado Trimestre,Pago Anticipado año,Pago anticipadoSemestre,No aplica,VentasOro"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9.86"/>
    <col customWidth="1" min="3" max="3" width="22.14"/>
    <col customWidth="1" min="4" max="4" width="18.86"/>
    <col customWidth="1" min="5" max="5" width="14.14"/>
    <col customWidth="1" min="6" max="6" width="10.71"/>
    <col customWidth="1" min="7" max="7" width="20.71"/>
    <col customWidth="1" min="8" max="8" width="14.29"/>
    <col customWidth="1" min="9" max="9" width="16.57"/>
    <col customWidth="1" min="10" max="12" width="10.71"/>
    <col customWidth="1" min="13" max="13" width="13.43"/>
    <col customWidth="1" min="14" max="20" width="10.71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8</v>
      </c>
      <c r="J2" s="1" t="s">
        <v>9</v>
      </c>
    </row>
    <row r="3">
      <c r="B3" t="str">
        <f t="array" ref="B3">XLOOKUP(D3,'[1]Matriz de Ejecutivos'!$B:$B,'[1]Matriz de Ejecutivos'!$C:$C,,0)</f>
        <v>#REF!</v>
      </c>
      <c r="C3" t="s">
        <v>10</v>
      </c>
      <c r="D3" t="str">
        <f>Hoja3!E3</f>
        <v>1065607667</v>
      </c>
      <c r="E3" t="str">
        <f>IF(C3="Principal",2520000,2200000)</f>
        <v>2520000</v>
      </c>
      <c r="F3" t="str">
        <f>Hoja3!G3</f>
        <v>VentasOro</v>
      </c>
      <c r="G3" t="str">
        <f t="array" ref="G3">XLOOKUP(D3,'[1]Matriz de Ejecutivos'!$B:$B,'[1]Matriz de Ejecutivos'!$I:$I,,0)</f>
        <v>#REF!</v>
      </c>
      <c r="H3" t="str">
        <f>versf!O3</f>
        <v>4000000</v>
      </c>
      <c r="I3" s="5" t="str">
        <f t="array" ref="I3">XLOOKUP("si", J17:J155, C17:C155)</f>
        <v>122.30%</v>
      </c>
      <c r="J3" s="5" t="str">
        <f>IF(I3-C17&gt;0,I3-C17,"Ya cumpliste")</f>
        <v>35.00%</v>
      </c>
    </row>
    <row r="6">
      <c r="B6" s="1" t="s">
        <v>13</v>
      </c>
    </row>
    <row r="7">
      <c r="B7" t="str">
        <f>versf!B7</f>
        <v>3</v>
      </c>
    </row>
    <row r="14">
      <c r="N14" s="2" t="str">
        <f>versf!U3</f>
        <v>8.00</v>
      </c>
    </row>
    <row r="16">
      <c r="B16" t="s">
        <v>57</v>
      </c>
      <c r="C16" t="s">
        <v>58</v>
      </c>
      <c r="D16" t="s">
        <v>59</v>
      </c>
      <c r="E16" t="s">
        <v>60</v>
      </c>
      <c r="G16" t="s">
        <v>61</v>
      </c>
      <c r="H16" t="s">
        <v>62</v>
      </c>
    </row>
    <row r="17">
      <c r="B17" t="str">
        <f t="shared" ref="B17:B214" si="1">$E$3*C17</f>
        <v>2200000</v>
      </c>
      <c r="C17" s="3" t="str">
        <f>versf!R3</f>
        <v>87.30%</v>
      </c>
      <c r="D17" t="str">
        <f t="shared" ref="D17:D214" si="2">IF(C17&gt;=1.89,1.44,IF(C17&gt;=1.56,1.28,IF(C17&gt;=1.22,1.08,IF(C17&gt;=0.89,0.92,IF(C17&gt;=0.67,0.56,IF(C17&gt;=0.44,0.32,0))))))</f>
        <v>0.56</v>
      </c>
      <c r="E17" t="str">
        <f t="shared" ref="E17:E214" si="3">IF($N$14&gt;0,B17*(D17+$N$25),B17*D17)</f>
        <v>1738000</v>
      </c>
      <c r="G17" t="str">
        <f t="shared" ref="G17:G214" si="4">IF($F$3="VentasOro",D17+0.15,IF($F$3="Pago Anticipado Trimestre",0.2+D17,IF($F$3="Pago AnticipadoSemestre",0.5+D17,IF($F$3="Pago Anticipado año",D17+0.7,D17))))</f>
        <v>0.71</v>
      </c>
      <c r="H17" t="str">
        <f t="shared" ref="H17:H214" si="5">B17*K17</f>
        <v>1892000</v>
      </c>
      <c r="J17" t="str">
        <f t="shared" ref="J17:J214" si="6">IF(E17&lt;$H$3,"no","si")</f>
        <v>no</v>
      </c>
      <c r="K17" t="str">
        <f t="shared" ref="K17:K214" si="7">IF($B$7&gt;=5,G17+0.3,IF($B$7&gt;=2,G17+0.15,G17))</f>
        <v>0.86</v>
      </c>
      <c r="N17">
        <v>0.0</v>
      </c>
      <c r="O17">
        <v>3.0</v>
      </c>
      <c r="P17">
        <v>0.0</v>
      </c>
    </row>
    <row r="18">
      <c r="B18" t="str">
        <f t="shared" si="1"/>
        <v>2225200</v>
      </c>
      <c r="C18" s="5" t="str">
        <f t="shared" ref="C18:C214" si="8">C17+0.01</f>
        <v>88.30%</v>
      </c>
      <c r="D18" t="str">
        <f t="shared" si="2"/>
        <v>0.56</v>
      </c>
      <c r="E18" t="str">
        <f t="shared" si="3"/>
        <v>1757908</v>
      </c>
      <c r="G18" t="str">
        <f t="shared" si="4"/>
        <v>0.71</v>
      </c>
      <c r="H18" t="str">
        <f t="shared" si="5"/>
        <v>1913672</v>
      </c>
      <c r="J18" t="str">
        <f t="shared" si="6"/>
        <v>no</v>
      </c>
      <c r="K18" t="str">
        <f t="shared" si="7"/>
        <v>0.86</v>
      </c>
      <c r="N18">
        <v>4.0</v>
      </c>
      <c r="O18">
        <v>5.0</v>
      </c>
      <c r="P18">
        <v>0.08000000000000002</v>
      </c>
    </row>
    <row r="19">
      <c r="B19" t="str">
        <f t="shared" si="1"/>
        <v>2250400</v>
      </c>
      <c r="C19" s="5" t="str">
        <f t="shared" si="8"/>
        <v>89.30%</v>
      </c>
      <c r="D19" t="str">
        <f t="shared" si="2"/>
        <v>0.92</v>
      </c>
      <c r="E19" t="str">
        <f t="shared" si="3"/>
        <v>2587960</v>
      </c>
      <c r="G19" t="str">
        <f t="shared" si="4"/>
        <v>1.07</v>
      </c>
      <c r="H19" t="str">
        <f t="shared" si="5"/>
        <v>2745488</v>
      </c>
      <c r="J19" t="str">
        <f t="shared" si="6"/>
        <v>no</v>
      </c>
      <c r="K19" t="str">
        <f t="shared" si="7"/>
        <v>1.22</v>
      </c>
      <c r="N19">
        <v>6.0</v>
      </c>
      <c r="O19">
        <v>7.0</v>
      </c>
      <c r="P19">
        <v>0.13999999999999999</v>
      </c>
    </row>
    <row r="20">
      <c r="B20" t="str">
        <f t="shared" si="1"/>
        <v>2275600</v>
      </c>
      <c r="C20" s="5" t="str">
        <f t="shared" si="8"/>
        <v>90.30%</v>
      </c>
      <c r="D20" t="str">
        <f t="shared" si="2"/>
        <v>0.92</v>
      </c>
      <c r="E20" t="str">
        <f t="shared" si="3"/>
        <v>2616940</v>
      </c>
      <c r="G20" t="str">
        <f t="shared" si="4"/>
        <v>1.07</v>
      </c>
      <c r="H20" t="str">
        <f t="shared" si="5"/>
        <v>2776232</v>
      </c>
      <c r="J20" t="str">
        <f t="shared" si="6"/>
        <v>no</v>
      </c>
      <c r="K20" t="str">
        <f t="shared" si="7"/>
        <v>1.22</v>
      </c>
      <c r="N20">
        <v>8.0</v>
      </c>
      <c r="O20">
        <v>10.0</v>
      </c>
      <c r="P20">
        <v>0.22999999999999998</v>
      </c>
    </row>
    <row r="21" ht="15.75" customHeight="1">
      <c r="B21" t="str">
        <f t="shared" si="1"/>
        <v>2300800</v>
      </c>
      <c r="C21" s="5" t="str">
        <f t="shared" si="8"/>
        <v>91.30%</v>
      </c>
      <c r="D21" t="str">
        <f t="shared" si="2"/>
        <v>0.92</v>
      </c>
      <c r="E21" t="str">
        <f t="shared" si="3"/>
        <v>2645920</v>
      </c>
      <c r="G21" t="str">
        <f t="shared" si="4"/>
        <v>1.07</v>
      </c>
      <c r="H21" t="str">
        <f t="shared" si="5"/>
        <v>2806976</v>
      </c>
      <c r="J21" t="str">
        <f t="shared" si="6"/>
        <v>no</v>
      </c>
      <c r="K21" t="str">
        <f t="shared" si="7"/>
        <v>1.22</v>
      </c>
      <c r="N21">
        <v>11.0</v>
      </c>
      <c r="O21">
        <v>13.0</v>
      </c>
      <c r="P21">
        <v>0.27</v>
      </c>
    </row>
    <row r="22" ht="15.75" customHeight="1">
      <c r="B22" t="str">
        <f t="shared" si="1"/>
        <v>2326000</v>
      </c>
      <c r="C22" s="5" t="str">
        <f t="shared" si="8"/>
        <v>92.30%</v>
      </c>
      <c r="D22" t="str">
        <f t="shared" si="2"/>
        <v>0.92</v>
      </c>
      <c r="E22" t="str">
        <f t="shared" si="3"/>
        <v>2674900</v>
      </c>
      <c r="G22" t="str">
        <f t="shared" si="4"/>
        <v>1.07</v>
      </c>
      <c r="H22" t="str">
        <f t="shared" si="5"/>
        <v>2837720</v>
      </c>
      <c r="J22" t="str">
        <f t="shared" si="6"/>
        <v>no</v>
      </c>
      <c r="K22" t="str">
        <f t="shared" si="7"/>
        <v>1.22</v>
      </c>
      <c r="N22">
        <v>14.0</v>
      </c>
      <c r="O22">
        <v>16.0</v>
      </c>
      <c r="P22">
        <v>0.32000000000000006</v>
      </c>
    </row>
    <row r="23" ht="15.75" customHeight="1">
      <c r="B23" t="str">
        <f t="shared" si="1"/>
        <v>2351200</v>
      </c>
      <c r="C23" s="5" t="str">
        <f t="shared" si="8"/>
        <v>93.30%</v>
      </c>
      <c r="D23" t="str">
        <f t="shared" si="2"/>
        <v>0.92</v>
      </c>
      <c r="E23" t="str">
        <f t="shared" si="3"/>
        <v>2703880</v>
      </c>
      <c r="G23" t="str">
        <f t="shared" si="4"/>
        <v>1.07</v>
      </c>
      <c r="H23" t="str">
        <f t="shared" si="5"/>
        <v>2868464</v>
      </c>
      <c r="J23" t="str">
        <f t="shared" si="6"/>
        <v>no</v>
      </c>
      <c r="K23" t="str">
        <f t="shared" si="7"/>
        <v>1.22</v>
      </c>
      <c r="N23">
        <v>17.0</v>
      </c>
      <c r="O23" t="s">
        <v>48</v>
      </c>
      <c r="P23">
        <v>0.36000000000000004</v>
      </c>
    </row>
    <row r="24" ht="15.75" customHeight="1">
      <c r="B24" t="str">
        <f t="shared" si="1"/>
        <v>2376400</v>
      </c>
      <c r="C24" s="5" t="str">
        <f t="shared" si="8"/>
        <v>94.30%</v>
      </c>
      <c r="D24" t="str">
        <f t="shared" si="2"/>
        <v>0.92</v>
      </c>
      <c r="E24" t="str">
        <f t="shared" si="3"/>
        <v>2732860</v>
      </c>
      <c r="G24" t="str">
        <f t="shared" si="4"/>
        <v>1.07</v>
      </c>
      <c r="H24" t="str">
        <f t="shared" si="5"/>
        <v>2899208</v>
      </c>
      <c r="J24" t="str">
        <f t="shared" si="6"/>
        <v>no</v>
      </c>
      <c r="K24" t="str">
        <f t="shared" si="7"/>
        <v>1.22</v>
      </c>
    </row>
    <row r="25" ht="15.75" customHeight="1">
      <c r="B25" t="str">
        <f t="shared" si="1"/>
        <v>2401600</v>
      </c>
      <c r="C25" s="5" t="str">
        <f t="shared" si="8"/>
        <v>95.30%</v>
      </c>
      <c r="D25" t="str">
        <f t="shared" si="2"/>
        <v>0.92</v>
      </c>
      <c r="E25" t="str">
        <f t="shared" si="3"/>
        <v>2761840</v>
      </c>
      <c r="G25" t="str">
        <f t="shared" si="4"/>
        <v>1.07</v>
      </c>
      <c r="H25" t="str">
        <f t="shared" si="5"/>
        <v>2929952</v>
      </c>
      <c r="J25" t="str">
        <f t="shared" si="6"/>
        <v>no</v>
      </c>
      <c r="K25" t="str">
        <f t="shared" si="7"/>
        <v>1.22</v>
      </c>
      <c r="M25" t="s">
        <v>63</v>
      </c>
      <c r="N25" t="str">
        <f>IF(N14&gt;=17,P23,IF(N14&gt;=14,P22,IF(N14&gt;=11,P21,IF(N14&gt;=8,P20,IF(N14&gt;=6,P19,IF(N14&gt;=4,P18,0))))))</f>
        <v>0.23</v>
      </c>
    </row>
    <row r="26" ht="15.75" customHeight="1">
      <c r="B26" t="str">
        <f t="shared" si="1"/>
        <v>2426800</v>
      </c>
      <c r="C26" s="5" t="str">
        <f t="shared" si="8"/>
        <v>96.30%</v>
      </c>
      <c r="D26" t="str">
        <f t="shared" si="2"/>
        <v>0.92</v>
      </c>
      <c r="E26" t="str">
        <f t="shared" si="3"/>
        <v>2790820</v>
      </c>
      <c r="G26" t="str">
        <f t="shared" si="4"/>
        <v>1.07</v>
      </c>
      <c r="H26" t="str">
        <f t="shared" si="5"/>
        <v>2960696</v>
      </c>
      <c r="J26" t="str">
        <f t="shared" si="6"/>
        <v>no</v>
      </c>
      <c r="K26" t="str">
        <f t="shared" si="7"/>
        <v>1.22</v>
      </c>
      <c r="M26" t="s">
        <v>64</v>
      </c>
      <c r="N26" t="str">
        <f>N25*B17</f>
        <v>506000</v>
      </c>
    </row>
    <row r="27" ht="15.75" customHeight="1">
      <c r="B27" t="str">
        <f t="shared" si="1"/>
        <v>2452000</v>
      </c>
      <c r="C27" s="5" t="str">
        <f t="shared" si="8"/>
        <v>97.30%</v>
      </c>
      <c r="D27" t="str">
        <f t="shared" si="2"/>
        <v>0.92</v>
      </c>
      <c r="E27" t="str">
        <f t="shared" si="3"/>
        <v>2819800</v>
      </c>
      <c r="G27" t="str">
        <f t="shared" si="4"/>
        <v>1.07</v>
      </c>
      <c r="H27" t="str">
        <f t="shared" si="5"/>
        <v>2991440</v>
      </c>
      <c r="J27" t="str">
        <f t="shared" si="6"/>
        <v>no</v>
      </c>
      <c r="K27" t="str">
        <f t="shared" si="7"/>
        <v>1.22</v>
      </c>
    </row>
    <row r="28" ht="15.75" customHeight="1">
      <c r="B28" t="str">
        <f t="shared" si="1"/>
        <v>2477200</v>
      </c>
      <c r="C28" s="5" t="str">
        <f t="shared" si="8"/>
        <v>98.30%</v>
      </c>
      <c r="D28" t="str">
        <f t="shared" si="2"/>
        <v>0.92</v>
      </c>
      <c r="E28" t="str">
        <f t="shared" si="3"/>
        <v>2848780</v>
      </c>
      <c r="G28" t="str">
        <f t="shared" si="4"/>
        <v>1.07</v>
      </c>
      <c r="H28" t="str">
        <f t="shared" si="5"/>
        <v>3022184</v>
      </c>
      <c r="J28" t="str">
        <f t="shared" si="6"/>
        <v>no</v>
      </c>
      <c r="K28" t="str">
        <f t="shared" si="7"/>
        <v>1.22</v>
      </c>
    </row>
    <row r="29" ht="15.75" customHeight="1">
      <c r="B29" t="str">
        <f t="shared" si="1"/>
        <v>2502400</v>
      </c>
      <c r="C29" s="5" t="str">
        <f t="shared" si="8"/>
        <v>99.30%</v>
      </c>
      <c r="D29" t="str">
        <f t="shared" si="2"/>
        <v>0.92</v>
      </c>
      <c r="E29" t="str">
        <f t="shared" si="3"/>
        <v>2877760</v>
      </c>
      <c r="G29" t="str">
        <f t="shared" si="4"/>
        <v>1.07</v>
      </c>
      <c r="H29" t="str">
        <f t="shared" si="5"/>
        <v>3052928</v>
      </c>
      <c r="J29" t="str">
        <f t="shared" si="6"/>
        <v>no</v>
      </c>
      <c r="K29" t="str">
        <f t="shared" si="7"/>
        <v>1.22</v>
      </c>
    </row>
    <row r="30" ht="15.75" customHeight="1">
      <c r="B30" t="str">
        <f t="shared" si="1"/>
        <v>2527600</v>
      </c>
      <c r="C30" s="5" t="str">
        <f t="shared" si="8"/>
        <v>100.30%</v>
      </c>
      <c r="D30" t="str">
        <f t="shared" si="2"/>
        <v>0.92</v>
      </c>
      <c r="E30" t="str">
        <f t="shared" si="3"/>
        <v>2906740</v>
      </c>
      <c r="G30" t="str">
        <f t="shared" si="4"/>
        <v>1.07</v>
      </c>
      <c r="H30" t="str">
        <f t="shared" si="5"/>
        <v>3083672</v>
      </c>
      <c r="J30" t="str">
        <f t="shared" si="6"/>
        <v>no</v>
      </c>
      <c r="K30" t="str">
        <f t="shared" si="7"/>
        <v>1.22</v>
      </c>
    </row>
    <row r="31" ht="15.75" customHeight="1">
      <c r="B31" t="str">
        <f t="shared" si="1"/>
        <v>2552800</v>
      </c>
      <c r="C31" s="5" t="str">
        <f t="shared" si="8"/>
        <v>101.30%</v>
      </c>
      <c r="D31" t="str">
        <f t="shared" si="2"/>
        <v>0.92</v>
      </c>
      <c r="E31" t="str">
        <f t="shared" si="3"/>
        <v>2935720</v>
      </c>
      <c r="G31" t="str">
        <f t="shared" si="4"/>
        <v>1.07</v>
      </c>
      <c r="H31" t="str">
        <f t="shared" si="5"/>
        <v>3114416</v>
      </c>
      <c r="J31" t="str">
        <f t="shared" si="6"/>
        <v>no</v>
      </c>
      <c r="K31" t="str">
        <f t="shared" si="7"/>
        <v>1.22</v>
      </c>
    </row>
    <row r="32" ht="15.75" customHeight="1">
      <c r="B32" t="str">
        <f t="shared" si="1"/>
        <v>2578000</v>
      </c>
      <c r="C32" s="5" t="str">
        <f t="shared" si="8"/>
        <v>102.30%</v>
      </c>
      <c r="D32" t="str">
        <f t="shared" si="2"/>
        <v>0.92</v>
      </c>
      <c r="E32" t="str">
        <f t="shared" si="3"/>
        <v>2964700</v>
      </c>
      <c r="G32" t="str">
        <f t="shared" si="4"/>
        <v>1.07</v>
      </c>
      <c r="H32" t="str">
        <f t="shared" si="5"/>
        <v>3145160</v>
      </c>
      <c r="J32" t="str">
        <f t="shared" si="6"/>
        <v>no</v>
      </c>
      <c r="K32" t="str">
        <f t="shared" si="7"/>
        <v>1.22</v>
      </c>
    </row>
    <row r="33" ht="15.75" customHeight="1">
      <c r="B33" t="str">
        <f t="shared" si="1"/>
        <v>2603200</v>
      </c>
      <c r="C33" s="5" t="str">
        <f t="shared" si="8"/>
        <v>103.30%</v>
      </c>
      <c r="D33" t="str">
        <f t="shared" si="2"/>
        <v>0.92</v>
      </c>
      <c r="E33" t="str">
        <f t="shared" si="3"/>
        <v>2993680</v>
      </c>
      <c r="G33" t="str">
        <f t="shared" si="4"/>
        <v>1.07</v>
      </c>
      <c r="H33" t="str">
        <f t="shared" si="5"/>
        <v>3175904</v>
      </c>
      <c r="J33" t="str">
        <f t="shared" si="6"/>
        <v>no</v>
      </c>
      <c r="K33" t="str">
        <f t="shared" si="7"/>
        <v>1.22</v>
      </c>
    </row>
    <row r="34" ht="15.75" customHeight="1">
      <c r="B34" t="str">
        <f t="shared" si="1"/>
        <v>2628400</v>
      </c>
      <c r="C34" s="5" t="str">
        <f t="shared" si="8"/>
        <v>104.30%</v>
      </c>
      <c r="D34" t="str">
        <f t="shared" si="2"/>
        <v>0.92</v>
      </c>
      <c r="E34" t="str">
        <f t="shared" si="3"/>
        <v>3022660</v>
      </c>
      <c r="G34" t="str">
        <f t="shared" si="4"/>
        <v>1.07</v>
      </c>
      <c r="H34" t="str">
        <f t="shared" si="5"/>
        <v>3206648</v>
      </c>
      <c r="J34" t="str">
        <f t="shared" si="6"/>
        <v>no</v>
      </c>
      <c r="K34" t="str">
        <f t="shared" si="7"/>
        <v>1.22</v>
      </c>
    </row>
    <row r="35" ht="15.75" customHeight="1">
      <c r="B35" t="str">
        <f t="shared" si="1"/>
        <v>2653600</v>
      </c>
      <c r="C35" s="5" t="str">
        <f t="shared" si="8"/>
        <v>105.30%</v>
      </c>
      <c r="D35" t="str">
        <f t="shared" si="2"/>
        <v>0.92</v>
      </c>
      <c r="E35" t="str">
        <f t="shared" si="3"/>
        <v>3051640</v>
      </c>
      <c r="G35" t="str">
        <f t="shared" si="4"/>
        <v>1.07</v>
      </c>
      <c r="H35" t="str">
        <f t="shared" si="5"/>
        <v>3237392</v>
      </c>
      <c r="J35" t="str">
        <f t="shared" si="6"/>
        <v>no</v>
      </c>
      <c r="K35" t="str">
        <f t="shared" si="7"/>
        <v>1.22</v>
      </c>
    </row>
    <row r="36" ht="15.75" customHeight="1">
      <c r="B36" t="str">
        <f t="shared" si="1"/>
        <v>2678800</v>
      </c>
      <c r="C36" s="5" t="str">
        <f t="shared" si="8"/>
        <v>106.30%</v>
      </c>
      <c r="D36" t="str">
        <f t="shared" si="2"/>
        <v>0.92</v>
      </c>
      <c r="E36" t="str">
        <f t="shared" si="3"/>
        <v>3080620</v>
      </c>
      <c r="G36" t="str">
        <f t="shared" si="4"/>
        <v>1.07</v>
      </c>
      <c r="H36" t="str">
        <f t="shared" si="5"/>
        <v>3268136</v>
      </c>
      <c r="J36" t="str">
        <f t="shared" si="6"/>
        <v>no</v>
      </c>
      <c r="K36" t="str">
        <f t="shared" si="7"/>
        <v>1.22</v>
      </c>
    </row>
    <row r="37" ht="15.75" customHeight="1">
      <c r="B37" t="str">
        <f t="shared" si="1"/>
        <v>2704000</v>
      </c>
      <c r="C37" s="5" t="str">
        <f t="shared" si="8"/>
        <v>107.30%</v>
      </c>
      <c r="D37" t="str">
        <f t="shared" si="2"/>
        <v>0.92</v>
      </c>
      <c r="E37" t="str">
        <f t="shared" si="3"/>
        <v>3109600</v>
      </c>
      <c r="G37" t="str">
        <f t="shared" si="4"/>
        <v>1.07</v>
      </c>
      <c r="H37" t="str">
        <f t="shared" si="5"/>
        <v>3298880</v>
      </c>
      <c r="J37" t="str">
        <f t="shared" si="6"/>
        <v>no</v>
      </c>
      <c r="K37" t="str">
        <f t="shared" si="7"/>
        <v>1.22</v>
      </c>
    </row>
    <row r="38" ht="15.75" customHeight="1">
      <c r="B38" t="str">
        <f t="shared" si="1"/>
        <v>2729200</v>
      </c>
      <c r="C38" s="5" t="str">
        <f t="shared" si="8"/>
        <v>108.30%</v>
      </c>
      <c r="D38" t="str">
        <f t="shared" si="2"/>
        <v>0.92</v>
      </c>
      <c r="E38" t="str">
        <f t="shared" si="3"/>
        <v>3138580</v>
      </c>
      <c r="G38" t="str">
        <f t="shared" si="4"/>
        <v>1.07</v>
      </c>
      <c r="H38" t="str">
        <f t="shared" si="5"/>
        <v>3329624</v>
      </c>
      <c r="J38" t="str">
        <f t="shared" si="6"/>
        <v>no</v>
      </c>
      <c r="K38" t="str">
        <f t="shared" si="7"/>
        <v>1.22</v>
      </c>
    </row>
    <row r="39" ht="15.75" customHeight="1">
      <c r="B39" t="str">
        <f t="shared" si="1"/>
        <v>2754400</v>
      </c>
      <c r="C39" s="5" t="str">
        <f t="shared" si="8"/>
        <v>109.30%</v>
      </c>
      <c r="D39" t="str">
        <f t="shared" si="2"/>
        <v>0.92</v>
      </c>
      <c r="E39" t="str">
        <f t="shared" si="3"/>
        <v>3167560</v>
      </c>
      <c r="G39" t="str">
        <f t="shared" si="4"/>
        <v>1.07</v>
      </c>
      <c r="H39" t="str">
        <f t="shared" si="5"/>
        <v>3360368</v>
      </c>
      <c r="J39" t="str">
        <f t="shared" si="6"/>
        <v>no</v>
      </c>
      <c r="K39" t="str">
        <f t="shared" si="7"/>
        <v>1.22</v>
      </c>
    </row>
    <row r="40" ht="15.75" customHeight="1">
      <c r="B40" t="str">
        <f t="shared" si="1"/>
        <v>2779600</v>
      </c>
      <c r="C40" s="5" t="str">
        <f t="shared" si="8"/>
        <v>110.30%</v>
      </c>
      <c r="D40" t="str">
        <f t="shared" si="2"/>
        <v>0.92</v>
      </c>
      <c r="E40" t="str">
        <f t="shared" si="3"/>
        <v>3196540</v>
      </c>
      <c r="G40" t="str">
        <f t="shared" si="4"/>
        <v>1.07</v>
      </c>
      <c r="H40" t="str">
        <f t="shared" si="5"/>
        <v>3391112</v>
      </c>
      <c r="J40" t="str">
        <f t="shared" si="6"/>
        <v>no</v>
      </c>
      <c r="K40" t="str">
        <f t="shared" si="7"/>
        <v>1.22</v>
      </c>
    </row>
    <row r="41" ht="15.75" customHeight="1">
      <c r="B41" t="str">
        <f t="shared" si="1"/>
        <v>2804800</v>
      </c>
      <c r="C41" s="5" t="str">
        <f t="shared" si="8"/>
        <v>111.30%</v>
      </c>
      <c r="D41" t="str">
        <f t="shared" si="2"/>
        <v>0.92</v>
      </c>
      <c r="E41" t="str">
        <f t="shared" si="3"/>
        <v>3225520</v>
      </c>
      <c r="G41" t="str">
        <f t="shared" si="4"/>
        <v>1.07</v>
      </c>
      <c r="H41" t="str">
        <f t="shared" si="5"/>
        <v>3421856</v>
      </c>
      <c r="J41" t="str">
        <f t="shared" si="6"/>
        <v>no</v>
      </c>
      <c r="K41" t="str">
        <f t="shared" si="7"/>
        <v>1.22</v>
      </c>
    </row>
    <row r="42" ht="15.75" customHeight="1">
      <c r="B42" t="str">
        <f t="shared" si="1"/>
        <v>2830000</v>
      </c>
      <c r="C42" s="5" t="str">
        <f t="shared" si="8"/>
        <v>112.30%</v>
      </c>
      <c r="D42" t="str">
        <f t="shared" si="2"/>
        <v>0.92</v>
      </c>
      <c r="E42" t="str">
        <f t="shared" si="3"/>
        <v>3254500</v>
      </c>
      <c r="G42" t="str">
        <f t="shared" si="4"/>
        <v>1.07</v>
      </c>
      <c r="H42" t="str">
        <f t="shared" si="5"/>
        <v>3452600</v>
      </c>
      <c r="J42" t="str">
        <f t="shared" si="6"/>
        <v>no</v>
      </c>
      <c r="K42" t="str">
        <f t="shared" si="7"/>
        <v>1.22</v>
      </c>
    </row>
    <row r="43" ht="15.75" customHeight="1">
      <c r="B43" t="str">
        <f t="shared" si="1"/>
        <v>2855200</v>
      </c>
      <c r="C43" s="5" t="str">
        <f t="shared" si="8"/>
        <v>113.30%</v>
      </c>
      <c r="D43" t="str">
        <f t="shared" si="2"/>
        <v>0.92</v>
      </c>
      <c r="E43" t="str">
        <f t="shared" si="3"/>
        <v>3283480</v>
      </c>
      <c r="G43" t="str">
        <f t="shared" si="4"/>
        <v>1.07</v>
      </c>
      <c r="H43" t="str">
        <f t="shared" si="5"/>
        <v>3483344</v>
      </c>
      <c r="J43" t="str">
        <f t="shared" si="6"/>
        <v>no</v>
      </c>
      <c r="K43" t="str">
        <f t="shared" si="7"/>
        <v>1.22</v>
      </c>
    </row>
    <row r="44" ht="15.75" customHeight="1">
      <c r="B44" t="str">
        <f t="shared" si="1"/>
        <v>2880400</v>
      </c>
      <c r="C44" s="5" t="str">
        <f t="shared" si="8"/>
        <v>114.30%</v>
      </c>
      <c r="D44" t="str">
        <f t="shared" si="2"/>
        <v>0.92</v>
      </c>
      <c r="E44" t="str">
        <f t="shared" si="3"/>
        <v>3312460</v>
      </c>
      <c r="G44" t="str">
        <f t="shared" si="4"/>
        <v>1.07</v>
      </c>
      <c r="H44" t="str">
        <f t="shared" si="5"/>
        <v>3514088</v>
      </c>
      <c r="J44" t="str">
        <f t="shared" si="6"/>
        <v>no</v>
      </c>
      <c r="K44" t="str">
        <f t="shared" si="7"/>
        <v>1.22</v>
      </c>
    </row>
    <row r="45" ht="15.75" customHeight="1">
      <c r="B45" t="str">
        <f t="shared" si="1"/>
        <v>2905600</v>
      </c>
      <c r="C45" s="5" t="str">
        <f t="shared" si="8"/>
        <v>115.30%</v>
      </c>
      <c r="D45" t="str">
        <f t="shared" si="2"/>
        <v>0.92</v>
      </c>
      <c r="E45" t="str">
        <f t="shared" si="3"/>
        <v>3341440</v>
      </c>
      <c r="G45" t="str">
        <f t="shared" si="4"/>
        <v>1.07</v>
      </c>
      <c r="H45" t="str">
        <f t="shared" si="5"/>
        <v>3544832</v>
      </c>
      <c r="J45" t="str">
        <f t="shared" si="6"/>
        <v>no</v>
      </c>
      <c r="K45" t="str">
        <f t="shared" si="7"/>
        <v>1.22</v>
      </c>
    </row>
    <row r="46" ht="15.75" customHeight="1">
      <c r="B46" t="str">
        <f t="shared" si="1"/>
        <v>2930800</v>
      </c>
      <c r="C46" s="5" t="str">
        <f t="shared" si="8"/>
        <v>116.30%</v>
      </c>
      <c r="D46" t="str">
        <f t="shared" si="2"/>
        <v>0.92</v>
      </c>
      <c r="E46" t="str">
        <f t="shared" si="3"/>
        <v>3370420</v>
      </c>
      <c r="G46" t="str">
        <f t="shared" si="4"/>
        <v>1.07</v>
      </c>
      <c r="H46" t="str">
        <f t="shared" si="5"/>
        <v>3575576</v>
      </c>
      <c r="J46" t="str">
        <f t="shared" si="6"/>
        <v>no</v>
      </c>
      <c r="K46" t="str">
        <f t="shared" si="7"/>
        <v>1.22</v>
      </c>
    </row>
    <row r="47" ht="15.75" customHeight="1">
      <c r="B47" t="str">
        <f t="shared" si="1"/>
        <v>2956000</v>
      </c>
      <c r="C47" s="5" t="str">
        <f t="shared" si="8"/>
        <v>117.30%</v>
      </c>
      <c r="D47" t="str">
        <f t="shared" si="2"/>
        <v>0.92</v>
      </c>
      <c r="E47" t="str">
        <f t="shared" si="3"/>
        <v>3399400</v>
      </c>
      <c r="G47" t="str">
        <f t="shared" si="4"/>
        <v>1.07</v>
      </c>
      <c r="H47" t="str">
        <f t="shared" si="5"/>
        <v>3606320</v>
      </c>
      <c r="J47" t="str">
        <f t="shared" si="6"/>
        <v>no</v>
      </c>
      <c r="K47" t="str">
        <f t="shared" si="7"/>
        <v>1.22</v>
      </c>
    </row>
    <row r="48" ht="15.75" customHeight="1">
      <c r="B48" t="str">
        <f t="shared" si="1"/>
        <v>2981200</v>
      </c>
      <c r="C48" s="5" t="str">
        <f t="shared" si="8"/>
        <v>118.30%</v>
      </c>
      <c r="D48" t="str">
        <f t="shared" si="2"/>
        <v>0.92</v>
      </c>
      <c r="E48" t="str">
        <f t="shared" si="3"/>
        <v>3428380</v>
      </c>
      <c r="G48" t="str">
        <f t="shared" si="4"/>
        <v>1.07</v>
      </c>
      <c r="H48" t="str">
        <f t="shared" si="5"/>
        <v>3637064</v>
      </c>
      <c r="J48" t="str">
        <f t="shared" si="6"/>
        <v>no</v>
      </c>
      <c r="K48" t="str">
        <f t="shared" si="7"/>
        <v>1.22</v>
      </c>
    </row>
    <row r="49" ht="15.75" customHeight="1">
      <c r="B49" t="str">
        <f t="shared" si="1"/>
        <v>3006400</v>
      </c>
      <c r="C49" s="5" t="str">
        <f t="shared" si="8"/>
        <v>119.30%</v>
      </c>
      <c r="D49" t="str">
        <f t="shared" si="2"/>
        <v>0.92</v>
      </c>
      <c r="E49" t="str">
        <f t="shared" si="3"/>
        <v>3457360</v>
      </c>
      <c r="G49" t="str">
        <f t="shared" si="4"/>
        <v>1.07</v>
      </c>
      <c r="H49" t="str">
        <f t="shared" si="5"/>
        <v>3667808</v>
      </c>
      <c r="J49" t="str">
        <f t="shared" si="6"/>
        <v>no</v>
      </c>
      <c r="K49" t="str">
        <f t="shared" si="7"/>
        <v>1.22</v>
      </c>
    </row>
    <row r="50" ht="15.75" customHeight="1">
      <c r="B50" t="str">
        <f t="shared" si="1"/>
        <v>3031600</v>
      </c>
      <c r="C50" s="5" t="str">
        <f t="shared" si="8"/>
        <v>120.30%</v>
      </c>
      <c r="D50" t="str">
        <f t="shared" si="2"/>
        <v>0.92</v>
      </c>
      <c r="E50" t="str">
        <f t="shared" si="3"/>
        <v>3486340</v>
      </c>
      <c r="G50" t="str">
        <f t="shared" si="4"/>
        <v>1.07</v>
      </c>
      <c r="H50" t="str">
        <f t="shared" si="5"/>
        <v>3698552</v>
      </c>
      <c r="J50" t="str">
        <f t="shared" si="6"/>
        <v>no</v>
      </c>
      <c r="K50" t="str">
        <f t="shared" si="7"/>
        <v>1.22</v>
      </c>
    </row>
    <row r="51" ht="15.75" customHeight="1">
      <c r="B51" t="str">
        <f t="shared" si="1"/>
        <v>3056800</v>
      </c>
      <c r="C51" s="5" t="str">
        <f t="shared" si="8"/>
        <v>121.30%</v>
      </c>
      <c r="D51" t="str">
        <f t="shared" si="2"/>
        <v>0.92</v>
      </c>
      <c r="E51" t="str">
        <f t="shared" si="3"/>
        <v>3515320</v>
      </c>
      <c r="G51" t="str">
        <f t="shared" si="4"/>
        <v>1.07</v>
      </c>
      <c r="H51" t="str">
        <f t="shared" si="5"/>
        <v>3729296</v>
      </c>
      <c r="J51" t="str">
        <f t="shared" si="6"/>
        <v>no</v>
      </c>
      <c r="K51" t="str">
        <f t="shared" si="7"/>
        <v>1.22</v>
      </c>
    </row>
    <row r="52" ht="15.75" customHeight="1">
      <c r="B52" t="str">
        <f t="shared" si="1"/>
        <v>3082000</v>
      </c>
      <c r="C52" s="5" t="str">
        <f t="shared" si="8"/>
        <v>122.30%</v>
      </c>
      <c r="D52" t="str">
        <f t="shared" si="2"/>
        <v>1.08</v>
      </c>
      <c r="E52" t="str">
        <f t="shared" si="3"/>
        <v>4037420</v>
      </c>
      <c r="G52" t="str">
        <f t="shared" si="4"/>
        <v>1.23</v>
      </c>
      <c r="H52" t="str">
        <f t="shared" si="5"/>
        <v>4253160</v>
      </c>
      <c r="J52" t="str">
        <f t="shared" si="6"/>
        <v>si</v>
      </c>
      <c r="K52" t="str">
        <f t="shared" si="7"/>
        <v>1.38</v>
      </c>
    </row>
    <row r="53" ht="15.75" customHeight="1">
      <c r="B53" t="str">
        <f t="shared" si="1"/>
        <v>3107200</v>
      </c>
      <c r="C53" s="5" t="str">
        <f t="shared" si="8"/>
        <v>123.30%</v>
      </c>
      <c r="D53" t="str">
        <f t="shared" si="2"/>
        <v>1.08</v>
      </c>
      <c r="E53" t="str">
        <f t="shared" si="3"/>
        <v>4070432</v>
      </c>
      <c r="G53" t="str">
        <f t="shared" si="4"/>
        <v>1.23</v>
      </c>
      <c r="H53" t="str">
        <f t="shared" si="5"/>
        <v>4287936</v>
      </c>
      <c r="J53" t="str">
        <f t="shared" si="6"/>
        <v>si</v>
      </c>
      <c r="K53" t="str">
        <f t="shared" si="7"/>
        <v>1.38</v>
      </c>
    </row>
    <row r="54" ht="15.75" customHeight="1">
      <c r="B54" t="str">
        <f t="shared" si="1"/>
        <v>3132400</v>
      </c>
      <c r="C54" s="5" t="str">
        <f t="shared" si="8"/>
        <v>124.30%</v>
      </c>
      <c r="D54" t="str">
        <f t="shared" si="2"/>
        <v>1.08</v>
      </c>
      <c r="E54" t="str">
        <f t="shared" si="3"/>
        <v>4103444</v>
      </c>
      <c r="G54" t="str">
        <f t="shared" si="4"/>
        <v>1.23</v>
      </c>
      <c r="H54" t="str">
        <f t="shared" si="5"/>
        <v>4322712</v>
      </c>
      <c r="J54" t="str">
        <f t="shared" si="6"/>
        <v>si</v>
      </c>
      <c r="K54" t="str">
        <f t="shared" si="7"/>
        <v>1.38</v>
      </c>
    </row>
    <row r="55" ht="15.75" customHeight="1">
      <c r="B55" t="str">
        <f t="shared" si="1"/>
        <v>3157600</v>
      </c>
      <c r="C55" s="5" t="str">
        <f t="shared" si="8"/>
        <v>125.30%</v>
      </c>
      <c r="D55" t="str">
        <f t="shared" si="2"/>
        <v>1.08</v>
      </c>
      <c r="E55" t="str">
        <f t="shared" si="3"/>
        <v>4136456</v>
      </c>
      <c r="G55" t="str">
        <f t="shared" si="4"/>
        <v>1.23</v>
      </c>
      <c r="H55" t="str">
        <f t="shared" si="5"/>
        <v>4357488</v>
      </c>
      <c r="J55" t="str">
        <f t="shared" si="6"/>
        <v>si</v>
      </c>
      <c r="K55" t="str">
        <f t="shared" si="7"/>
        <v>1.38</v>
      </c>
    </row>
    <row r="56" ht="15.75" customHeight="1">
      <c r="B56" t="str">
        <f t="shared" si="1"/>
        <v>3182800</v>
      </c>
      <c r="C56" s="5" t="str">
        <f t="shared" si="8"/>
        <v>126.30%</v>
      </c>
      <c r="D56" t="str">
        <f t="shared" si="2"/>
        <v>1.08</v>
      </c>
      <c r="E56" t="str">
        <f t="shared" si="3"/>
        <v>4169468</v>
      </c>
      <c r="G56" t="str">
        <f t="shared" si="4"/>
        <v>1.23</v>
      </c>
      <c r="H56" t="str">
        <f t="shared" si="5"/>
        <v>4392264</v>
      </c>
      <c r="J56" t="str">
        <f t="shared" si="6"/>
        <v>si</v>
      </c>
      <c r="K56" t="str">
        <f t="shared" si="7"/>
        <v>1.38</v>
      </c>
    </row>
    <row r="57" ht="15.75" customHeight="1">
      <c r="B57" t="str">
        <f t="shared" si="1"/>
        <v>3208000</v>
      </c>
      <c r="C57" s="5" t="str">
        <f t="shared" si="8"/>
        <v>127.30%</v>
      </c>
      <c r="D57" t="str">
        <f t="shared" si="2"/>
        <v>1.08</v>
      </c>
      <c r="E57" t="str">
        <f t="shared" si="3"/>
        <v>4202480</v>
      </c>
      <c r="G57" t="str">
        <f t="shared" si="4"/>
        <v>1.23</v>
      </c>
      <c r="H57" t="str">
        <f t="shared" si="5"/>
        <v>4427040</v>
      </c>
      <c r="J57" t="str">
        <f t="shared" si="6"/>
        <v>si</v>
      </c>
      <c r="K57" t="str">
        <f t="shared" si="7"/>
        <v>1.38</v>
      </c>
    </row>
    <row r="58" ht="15.75" customHeight="1">
      <c r="B58" t="str">
        <f t="shared" si="1"/>
        <v>3233200</v>
      </c>
      <c r="C58" s="5" t="str">
        <f t="shared" si="8"/>
        <v>128.30%</v>
      </c>
      <c r="D58" t="str">
        <f t="shared" si="2"/>
        <v>1.08</v>
      </c>
      <c r="E58" t="str">
        <f t="shared" si="3"/>
        <v>4235492</v>
      </c>
      <c r="G58" t="str">
        <f t="shared" si="4"/>
        <v>1.23</v>
      </c>
      <c r="H58" t="str">
        <f t="shared" si="5"/>
        <v>4461816</v>
      </c>
      <c r="J58" t="str">
        <f t="shared" si="6"/>
        <v>si</v>
      </c>
      <c r="K58" t="str">
        <f t="shared" si="7"/>
        <v>1.38</v>
      </c>
    </row>
    <row r="59" ht="15.75" customHeight="1">
      <c r="B59" t="str">
        <f t="shared" si="1"/>
        <v>3258400</v>
      </c>
      <c r="C59" s="5" t="str">
        <f t="shared" si="8"/>
        <v>129.30%</v>
      </c>
      <c r="D59" t="str">
        <f t="shared" si="2"/>
        <v>1.08</v>
      </c>
      <c r="E59" t="str">
        <f t="shared" si="3"/>
        <v>4268504</v>
      </c>
      <c r="G59" t="str">
        <f t="shared" si="4"/>
        <v>1.23</v>
      </c>
      <c r="H59" t="str">
        <f t="shared" si="5"/>
        <v>4496592</v>
      </c>
      <c r="J59" t="str">
        <f t="shared" si="6"/>
        <v>si</v>
      </c>
      <c r="K59" t="str">
        <f t="shared" si="7"/>
        <v>1.38</v>
      </c>
    </row>
    <row r="60" ht="15.75" customHeight="1">
      <c r="B60" t="str">
        <f t="shared" si="1"/>
        <v>3283600</v>
      </c>
      <c r="C60" s="5" t="str">
        <f t="shared" si="8"/>
        <v>130.30%</v>
      </c>
      <c r="D60" t="str">
        <f t="shared" si="2"/>
        <v>1.08</v>
      </c>
      <c r="E60" t="str">
        <f t="shared" si="3"/>
        <v>4301516</v>
      </c>
      <c r="G60" t="str">
        <f t="shared" si="4"/>
        <v>1.23</v>
      </c>
      <c r="H60" t="str">
        <f t="shared" si="5"/>
        <v>4531368</v>
      </c>
      <c r="J60" t="str">
        <f t="shared" si="6"/>
        <v>si</v>
      </c>
      <c r="K60" t="str">
        <f t="shared" si="7"/>
        <v>1.38</v>
      </c>
    </row>
    <row r="61" ht="15.75" customHeight="1">
      <c r="B61" t="str">
        <f t="shared" si="1"/>
        <v>3308800</v>
      </c>
      <c r="C61" s="5" t="str">
        <f t="shared" si="8"/>
        <v>131.30%</v>
      </c>
      <c r="D61" t="str">
        <f t="shared" si="2"/>
        <v>1.08</v>
      </c>
      <c r="E61" t="str">
        <f t="shared" si="3"/>
        <v>4334528</v>
      </c>
      <c r="G61" t="str">
        <f t="shared" si="4"/>
        <v>1.23</v>
      </c>
      <c r="H61" t="str">
        <f t="shared" si="5"/>
        <v>4566144</v>
      </c>
      <c r="J61" t="str">
        <f t="shared" si="6"/>
        <v>si</v>
      </c>
      <c r="K61" t="str">
        <f t="shared" si="7"/>
        <v>1.38</v>
      </c>
    </row>
    <row r="62" ht="15.75" customHeight="1">
      <c r="B62" t="str">
        <f t="shared" si="1"/>
        <v>3334000</v>
      </c>
      <c r="C62" s="5" t="str">
        <f t="shared" si="8"/>
        <v>132.30%</v>
      </c>
      <c r="D62" t="str">
        <f t="shared" si="2"/>
        <v>1.08</v>
      </c>
      <c r="E62" t="str">
        <f t="shared" si="3"/>
        <v>4367540</v>
      </c>
      <c r="G62" t="str">
        <f t="shared" si="4"/>
        <v>1.23</v>
      </c>
      <c r="H62" t="str">
        <f t="shared" si="5"/>
        <v>4600920</v>
      </c>
      <c r="J62" t="str">
        <f t="shared" si="6"/>
        <v>si</v>
      </c>
      <c r="K62" t="str">
        <f t="shared" si="7"/>
        <v>1.38</v>
      </c>
    </row>
    <row r="63" ht="15.75" customHeight="1">
      <c r="B63" t="str">
        <f t="shared" si="1"/>
        <v>3359200</v>
      </c>
      <c r="C63" s="5" t="str">
        <f t="shared" si="8"/>
        <v>133.30%</v>
      </c>
      <c r="D63" t="str">
        <f t="shared" si="2"/>
        <v>1.08</v>
      </c>
      <c r="E63" t="str">
        <f t="shared" si="3"/>
        <v>4400552</v>
      </c>
      <c r="G63" t="str">
        <f t="shared" si="4"/>
        <v>1.23</v>
      </c>
      <c r="H63" t="str">
        <f t="shared" si="5"/>
        <v>4635696</v>
      </c>
      <c r="J63" t="str">
        <f t="shared" si="6"/>
        <v>si</v>
      </c>
      <c r="K63" t="str">
        <f t="shared" si="7"/>
        <v>1.38</v>
      </c>
    </row>
    <row r="64" ht="15.75" customHeight="1">
      <c r="B64" t="str">
        <f t="shared" si="1"/>
        <v>3384400</v>
      </c>
      <c r="C64" s="5" t="str">
        <f t="shared" si="8"/>
        <v>134.30%</v>
      </c>
      <c r="D64" t="str">
        <f t="shared" si="2"/>
        <v>1.08</v>
      </c>
      <c r="E64" t="str">
        <f t="shared" si="3"/>
        <v>4433564</v>
      </c>
      <c r="G64" t="str">
        <f t="shared" si="4"/>
        <v>1.23</v>
      </c>
      <c r="H64" t="str">
        <f t="shared" si="5"/>
        <v>4670472</v>
      </c>
      <c r="J64" t="str">
        <f t="shared" si="6"/>
        <v>si</v>
      </c>
      <c r="K64" t="str">
        <f t="shared" si="7"/>
        <v>1.38</v>
      </c>
    </row>
    <row r="65" ht="15.75" customHeight="1">
      <c r="B65" t="str">
        <f t="shared" si="1"/>
        <v>3409600</v>
      </c>
      <c r="C65" s="5" t="str">
        <f t="shared" si="8"/>
        <v>135.30%</v>
      </c>
      <c r="D65" t="str">
        <f t="shared" si="2"/>
        <v>1.08</v>
      </c>
      <c r="E65" t="str">
        <f t="shared" si="3"/>
        <v>4466576</v>
      </c>
      <c r="G65" t="str">
        <f t="shared" si="4"/>
        <v>1.23</v>
      </c>
      <c r="H65" t="str">
        <f t="shared" si="5"/>
        <v>4705248</v>
      </c>
      <c r="J65" t="str">
        <f t="shared" si="6"/>
        <v>si</v>
      </c>
      <c r="K65" t="str">
        <f t="shared" si="7"/>
        <v>1.38</v>
      </c>
    </row>
    <row r="66" ht="15.75" customHeight="1">
      <c r="B66" t="str">
        <f t="shared" si="1"/>
        <v>3434800</v>
      </c>
      <c r="C66" s="5" t="str">
        <f t="shared" si="8"/>
        <v>136.30%</v>
      </c>
      <c r="D66" t="str">
        <f t="shared" si="2"/>
        <v>1.08</v>
      </c>
      <c r="E66" t="str">
        <f t="shared" si="3"/>
        <v>4499588</v>
      </c>
      <c r="G66" t="str">
        <f t="shared" si="4"/>
        <v>1.23</v>
      </c>
      <c r="H66" t="str">
        <f t="shared" si="5"/>
        <v>4740024</v>
      </c>
      <c r="J66" t="str">
        <f t="shared" si="6"/>
        <v>si</v>
      </c>
      <c r="K66" t="str">
        <f t="shared" si="7"/>
        <v>1.38</v>
      </c>
    </row>
    <row r="67" ht="15.75" customHeight="1">
      <c r="B67" t="str">
        <f t="shared" si="1"/>
        <v>3460000</v>
      </c>
      <c r="C67" s="5" t="str">
        <f t="shared" si="8"/>
        <v>137.30%</v>
      </c>
      <c r="D67" t="str">
        <f t="shared" si="2"/>
        <v>1.08</v>
      </c>
      <c r="E67" t="str">
        <f t="shared" si="3"/>
        <v>4532600</v>
      </c>
      <c r="G67" t="str">
        <f t="shared" si="4"/>
        <v>1.23</v>
      </c>
      <c r="H67" t="str">
        <f t="shared" si="5"/>
        <v>4774800</v>
      </c>
      <c r="J67" t="str">
        <f t="shared" si="6"/>
        <v>si</v>
      </c>
      <c r="K67" t="str">
        <f t="shared" si="7"/>
        <v>1.38</v>
      </c>
    </row>
    <row r="68" ht="15.75" customHeight="1">
      <c r="B68" t="str">
        <f t="shared" si="1"/>
        <v>3485200</v>
      </c>
      <c r="C68" s="5" t="str">
        <f t="shared" si="8"/>
        <v>138.30%</v>
      </c>
      <c r="D68" t="str">
        <f t="shared" si="2"/>
        <v>1.08</v>
      </c>
      <c r="E68" t="str">
        <f t="shared" si="3"/>
        <v>4565612</v>
      </c>
      <c r="G68" t="str">
        <f t="shared" si="4"/>
        <v>1.23</v>
      </c>
      <c r="H68" t="str">
        <f t="shared" si="5"/>
        <v>4809576</v>
      </c>
      <c r="J68" t="str">
        <f t="shared" si="6"/>
        <v>si</v>
      </c>
      <c r="K68" t="str">
        <f t="shared" si="7"/>
        <v>1.38</v>
      </c>
    </row>
    <row r="69" ht="15.75" customHeight="1">
      <c r="B69" t="str">
        <f t="shared" si="1"/>
        <v>3510400</v>
      </c>
      <c r="C69" s="5" t="str">
        <f t="shared" si="8"/>
        <v>139.30%</v>
      </c>
      <c r="D69" t="str">
        <f t="shared" si="2"/>
        <v>1.08</v>
      </c>
      <c r="E69" t="str">
        <f t="shared" si="3"/>
        <v>4598624</v>
      </c>
      <c r="G69" t="str">
        <f t="shared" si="4"/>
        <v>1.23</v>
      </c>
      <c r="H69" t="str">
        <f t="shared" si="5"/>
        <v>4844352</v>
      </c>
      <c r="J69" t="str">
        <f t="shared" si="6"/>
        <v>si</v>
      </c>
      <c r="K69" t="str">
        <f t="shared" si="7"/>
        <v>1.38</v>
      </c>
    </row>
    <row r="70" ht="15.75" customHeight="1">
      <c r="B70" t="str">
        <f t="shared" si="1"/>
        <v>3535600</v>
      </c>
      <c r="C70" s="5" t="str">
        <f t="shared" si="8"/>
        <v>140.30%</v>
      </c>
      <c r="D70" t="str">
        <f t="shared" si="2"/>
        <v>1.08</v>
      </c>
      <c r="E70" t="str">
        <f t="shared" si="3"/>
        <v>4631636</v>
      </c>
      <c r="G70" t="str">
        <f t="shared" si="4"/>
        <v>1.23</v>
      </c>
      <c r="H70" t="str">
        <f t="shared" si="5"/>
        <v>4879128</v>
      </c>
      <c r="J70" t="str">
        <f t="shared" si="6"/>
        <v>si</v>
      </c>
      <c r="K70" t="str">
        <f t="shared" si="7"/>
        <v>1.38</v>
      </c>
    </row>
    <row r="71" ht="15.75" customHeight="1">
      <c r="B71" t="str">
        <f t="shared" si="1"/>
        <v>3560800</v>
      </c>
      <c r="C71" s="5" t="str">
        <f t="shared" si="8"/>
        <v>141.30%</v>
      </c>
      <c r="D71" t="str">
        <f t="shared" si="2"/>
        <v>1.08</v>
      </c>
      <c r="E71" t="str">
        <f t="shared" si="3"/>
        <v>4664648</v>
      </c>
      <c r="G71" t="str">
        <f t="shared" si="4"/>
        <v>1.23</v>
      </c>
      <c r="H71" t="str">
        <f t="shared" si="5"/>
        <v>4913904</v>
      </c>
      <c r="J71" t="str">
        <f t="shared" si="6"/>
        <v>si</v>
      </c>
      <c r="K71" t="str">
        <f t="shared" si="7"/>
        <v>1.38</v>
      </c>
    </row>
    <row r="72" ht="15.75" customHeight="1">
      <c r="B72" t="str">
        <f t="shared" si="1"/>
        <v>3586000</v>
      </c>
      <c r="C72" s="5" t="str">
        <f t="shared" si="8"/>
        <v>142.30%</v>
      </c>
      <c r="D72" t="str">
        <f t="shared" si="2"/>
        <v>1.08</v>
      </c>
      <c r="E72" t="str">
        <f t="shared" si="3"/>
        <v>4697660</v>
      </c>
      <c r="G72" t="str">
        <f t="shared" si="4"/>
        <v>1.23</v>
      </c>
      <c r="H72" t="str">
        <f t="shared" si="5"/>
        <v>4948680</v>
      </c>
      <c r="J72" t="str">
        <f t="shared" si="6"/>
        <v>si</v>
      </c>
      <c r="K72" t="str">
        <f t="shared" si="7"/>
        <v>1.38</v>
      </c>
    </row>
    <row r="73" ht="15.75" customHeight="1">
      <c r="B73" t="str">
        <f t="shared" si="1"/>
        <v>3611200</v>
      </c>
      <c r="C73" s="5" t="str">
        <f t="shared" si="8"/>
        <v>143.30%</v>
      </c>
      <c r="D73" t="str">
        <f t="shared" si="2"/>
        <v>1.08</v>
      </c>
      <c r="E73" t="str">
        <f t="shared" si="3"/>
        <v>4730672</v>
      </c>
      <c r="G73" t="str">
        <f t="shared" si="4"/>
        <v>1.23</v>
      </c>
      <c r="H73" t="str">
        <f t="shared" si="5"/>
        <v>4983456</v>
      </c>
      <c r="J73" t="str">
        <f t="shared" si="6"/>
        <v>si</v>
      </c>
      <c r="K73" t="str">
        <f t="shared" si="7"/>
        <v>1.38</v>
      </c>
    </row>
    <row r="74" ht="15.75" customHeight="1">
      <c r="B74" t="str">
        <f t="shared" si="1"/>
        <v>3636400</v>
      </c>
      <c r="C74" s="5" t="str">
        <f t="shared" si="8"/>
        <v>144.30%</v>
      </c>
      <c r="D74" t="str">
        <f t="shared" si="2"/>
        <v>1.08</v>
      </c>
      <c r="E74" t="str">
        <f t="shared" si="3"/>
        <v>4763684</v>
      </c>
      <c r="G74" t="str">
        <f t="shared" si="4"/>
        <v>1.23</v>
      </c>
      <c r="H74" t="str">
        <f t="shared" si="5"/>
        <v>5018232</v>
      </c>
      <c r="J74" t="str">
        <f t="shared" si="6"/>
        <v>si</v>
      </c>
      <c r="K74" t="str">
        <f t="shared" si="7"/>
        <v>1.38</v>
      </c>
    </row>
    <row r="75" ht="15.75" customHeight="1">
      <c r="B75" t="str">
        <f t="shared" si="1"/>
        <v>3661600</v>
      </c>
      <c r="C75" s="5" t="str">
        <f t="shared" si="8"/>
        <v>145.30%</v>
      </c>
      <c r="D75" t="str">
        <f t="shared" si="2"/>
        <v>1.08</v>
      </c>
      <c r="E75" t="str">
        <f t="shared" si="3"/>
        <v>4796696</v>
      </c>
      <c r="G75" t="str">
        <f t="shared" si="4"/>
        <v>1.23</v>
      </c>
      <c r="H75" t="str">
        <f t="shared" si="5"/>
        <v>5053008</v>
      </c>
      <c r="J75" t="str">
        <f t="shared" si="6"/>
        <v>si</v>
      </c>
      <c r="K75" t="str">
        <f t="shared" si="7"/>
        <v>1.38</v>
      </c>
    </row>
    <row r="76" ht="15.75" customHeight="1">
      <c r="B76" t="str">
        <f t="shared" si="1"/>
        <v>3686800</v>
      </c>
      <c r="C76" s="5" t="str">
        <f t="shared" si="8"/>
        <v>146.30%</v>
      </c>
      <c r="D76" t="str">
        <f t="shared" si="2"/>
        <v>1.08</v>
      </c>
      <c r="E76" t="str">
        <f t="shared" si="3"/>
        <v>4829708</v>
      </c>
      <c r="G76" t="str">
        <f t="shared" si="4"/>
        <v>1.23</v>
      </c>
      <c r="H76" t="str">
        <f t="shared" si="5"/>
        <v>5087784</v>
      </c>
      <c r="J76" t="str">
        <f t="shared" si="6"/>
        <v>si</v>
      </c>
      <c r="K76" t="str">
        <f t="shared" si="7"/>
        <v>1.38</v>
      </c>
    </row>
    <row r="77" ht="15.75" customHeight="1">
      <c r="B77" t="str">
        <f t="shared" si="1"/>
        <v>3712000</v>
      </c>
      <c r="C77" s="5" t="str">
        <f t="shared" si="8"/>
        <v>147.30%</v>
      </c>
      <c r="D77" t="str">
        <f t="shared" si="2"/>
        <v>1.08</v>
      </c>
      <c r="E77" t="str">
        <f t="shared" si="3"/>
        <v>4862720</v>
      </c>
      <c r="G77" t="str">
        <f t="shared" si="4"/>
        <v>1.23</v>
      </c>
      <c r="H77" t="str">
        <f t="shared" si="5"/>
        <v>5122560</v>
      </c>
      <c r="J77" t="str">
        <f t="shared" si="6"/>
        <v>si</v>
      </c>
      <c r="K77" t="str">
        <f t="shared" si="7"/>
        <v>1.38</v>
      </c>
    </row>
    <row r="78" ht="15.75" customHeight="1">
      <c r="B78" t="str">
        <f t="shared" si="1"/>
        <v>3737200</v>
      </c>
      <c r="C78" s="5" t="str">
        <f t="shared" si="8"/>
        <v>148.30%</v>
      </c>
      <c r="D78" t="str">
        <f t="shared" si="2"/>
        <v>1.08</v>
      </c>
      <c r="E78" t="str">
        <f t="shared" si="3"/>
        <v>4895732</v>
      </c>
      <c r="G78" t="str">
        <f t="shared" si="4"/>
        <v>1.23</v>
      </c>
      <c r="H78" t="str">
        <f t="shared" si="5"/>
        <v>5157336</v>
      </c>
      <c r="J78" t="str">
        <f t="shared" si="6"/>
        <v>si</v>
      </c>
      <c r="K78" t="str">
        <f t="shared" si="7"/>
        <v>1.38</v>
      </c>
    </row>
    <row r="79" ht="15.75" customHeight="1">
      <c r="B79" t="str">
        <f t="shared" si="1"/>
        <v>3762400</v>
      </c>
      <c r="C79" s="5" t="str">
        <f t="shared" si="8"/>
        <v>149.30%</v>
      </c>
      <c r="D79" t="str">
        <f t="shared" si="2"/>
        <v>1.08</v>
      </c>
      <c r="E79" t="str">
        <f t="shared" si="3"/>
        <v>4928744</v>
      </c>
      <c r="G79" t="str">
        <f t="shared" si="4"/>
        <v>1.23</v>
      </c>
      <c r="H79" t="str">
        <f t="shared" si="5"/>
        <v>5192112</v>
      </c>
      <c r="J79" t="str">
        <f t="shared" si="6"/>
        <v>si</v>
      </c>
      <c r="K79" t="str">
        <f t="shared" si="7"/>
        <v>1.38</v>
      </c>
    </row>
    <row r="80" ht="15.75" customHeight="1">
      <c r="B80" t="str">
        <f t="shared" si="1"/>
        <v>3787600</v>
      </c>
      <c r="C80" s="5" t="str">
        <f t="shared" si="8"/>
        <v>150.30%</v>
      </c>
      <c r="D80" t="str">
        <f t="shared" si="2"/>
        <v>1.08</v>
      </c>
      <c r="E80" t="str">
        <f t="shared" si="3"/>
        <v>4961756</v>
      </c>
      <c r="G80" t="str">
        <f t="shared" si="4"/>
        <v>1.23</v>
      </c>
      <c r="H80" t="str">
        <f t="shared" si="5"/>
        <v>5226888</v>
      </c>
      <c r="J80" t="str">
        <f t="shared" si="6"/>
        <v>si</v>
      </c>
      <c r="K80" t="str">
        <f t="shared" si="7"/>
        <v>1.38</v>
      </c>
    </row>
    <row r="81" ht="15.75" customHeight="1">
      <c r="B81" t="str">
        <f t="shared" si="1"/>
        <v>3812800</v>
      </c>
      <c r="C81" s="5" t="str">
        <f t="shared" si="8"/>
        <v>151.30%</v>
      </c>
      <c r="D81" t="str">
        <f t="shared" si="2"/>
        <v>1.08</v>
      </c>
      <c r="E81" t="str">
        <f t="shared" si="3"/>
        <v>4994768</v>
      </c>
      <c r="G81" t="str">
        <f t="shared" si="4"/>
        <v>1.23</v>
      </c>
      <c r="H81" t="str">
        <f t="shared" si="5"/>
        <v>5261664</v>
      </c>
      <c r="J81" t="str">
        <f t="shared" si="6"/>
        <v>si</v>
      </c>
      <c r="K81" t="str">
        <f t="shared" si="7"/>
        <v>1.38</v>
      </c>
    </row>
    <row r="82" ht="15.75" customHeight="1">
      <c r="B82" t="str">
        <f t="shared" si="1"/>
        <v>3838000</v>
      </c>
      <c r="C82" s="5" t="str">
        <f t="shared" si="8"/>
        <v>152.30%</v>
      </c>
      <c r="D82" t="str">
        <f t="shared" si="2"/>
        <v>1.08</v>
      </c>
      <c r="E82" t="str">
        <f t="shared" si="3"/>
        <v>5027780</v>
      </c>
      <c r="G82" t="str">
        <f t="shared" si="4"/>
        <v>1.23</v>
      </c>
      <c r="H82" t="str">
        <f t="shared" si="5"/>
        <v>5296440</v>
      </c>
      <c r="J82" t="str">
        <f t="shared" si="6"/>
        <v>si</v>
      </c>
      <c r="K82" t="str">
        <f t="shared" si="7"/>
        <v>1.38</v>
      </c>
    </row>
    <row r="83" ht="15.75" customHeight="1">
      <c r="B83" t="str">
        <f t="shared" si="1"/>
        <v>3863200</v>
      </c>
      <c r="C83" s="5" t="str">
        <f t="shared" si="8"/>
        <v>153.30%</v>
      </c>
      <c r="D83" t="str">
        <f t="shared" si="2"/>
        <v>1.08</v>
      </c>
      <c r="E83" t="str">
        <f t="shared" si="3"/>
        <v>5060792</v>
      </c>
      <c r="G83" t="str">
        <f t="shared" si="4"/>
        <v>1.23</v>
      </c>
      <c r="H83" t="str">
        <f t="shared" si="5"/>
        <v>5331216</v>
      </c>
      <c r="J83" t="str">
        <f t="shared" si="6"/>
        <v>si</v>
      </c>
      <c r="K83" t="str">
        <f t="shared" si="7"/>
        <v>1.38</v>
      </c>
    </row>
    <row r="84" ht="15.75" customHeight="1">
      <c r="B84" t="str">
        <f t="shared" si="1"/>
        <v>3888400</v>
      </c>
      <c r="C84" s="5" t="str">
        <f t="shared" si="8"/>
        <v>154.30%</v>
      </c>
      <c r="D84" t="str">
        <f t="shared" si="2"/>
        <v>1.08</v>
      </c>
      <c r="E84" t="str">
        <f t="shared" si="3"/>
        <v>5093804</v>
      </c>
      <c r="G84" t="str">
        <f t="shared" si="4"/>
        <v>1.23</v>
      </c>
      <c r="H84" t="str">
        <f t="shared" si="5"/>
        <v>5365992</v>
      </c>
      <c r="J84" t="str">
        <f t="shared" si="6"/>
        <v>si</v>
      </c>
      <c r="K84" t="str">
        <f t="shared" si="7"/>
        <v>1.38</v>
      </c>
    </row>
    <row r="85" ht="15.75" customHeight="1">
      <c r="B85" t="str">
        <f t="shared" si="1"/>
        <v>3913600</v>
      </c>
      <c r="C85" s="5" t="str">
        <f t="shared" si="8"/>
        <v>155.30%</v>
      </c>
      <c r="D85" t="str">
        <f t="shared" si="2"/>
        <v>1.08</v>
      </c>
      <c r="E85" t="str">
        <f t="shared" si="3"/>
        <v>5126816</v>
      </c>
      <c r="G85" t="str">
        <f t="shared" si="4"/>
        <v>1.23</v>
      </c>
      <c r="H85" t="str">
        <f t="shared" si="5"/>
        <v>5400768</v>
      </c>
      <c r="J85" t="str">
        <f t="shared" si="6"/>
        <v>si</v>
      </c>
      <c r="K85" t="str">
        <f t="shared" si="7"/>
        <v>1.38</v>
      </c>
    </row>
    <row r="86" ht="15.75" customHeight="1">
      <c r="B86" t="str">
        <f t="shared" si="1"/>
        <v>3938800</v>
      </c>
      <c r="C86" s="5" t="str">
        <f t="shared" si="8"/>
        <v>156.30%</v>
      </c>
      <c r="D86" t="str">
        <f t="shared" si="2"/>
        <v>1.28</v>
      </c>
      <c r="E86" t="str">
        <f t="shared" si="3"/>
        <v>5947588</v>
      </c>
      <c r="G86" t="str">
        <f t="shared" si="4"/>
        <v>1.43</v>
      </c>
      <c r="H86" t="str">
        <f t="shared" si="5"/>
        <v>6223304</v>
      </c>
      <c r="J86" t="str">
        <f t="shared" si="6"/>
        <v>si</v>
      </c>
      <c r="K86" t="str">
        <f t="shared" si="7"/>
        <v>1.58</v>
      </c>
    </row>
    <row r="87" ht="15.75" customHeight="1">
      <c r="B87" t="str">
        <f t="shared" si="1"/>
        <v>3964000</v>
      </c>
      <c r="C87" s="5" t="str">
        <f t="shared" si="8"/>
        <v>157.30%</v>
      </c>
      <c r="D87" t="str">
        <f t="shared" si="2"/>
        <v>1.28</v>
      </c>
      <c r="E87" t="str">
        <f t="shared" si="3"/>
        <v>5985640</v>
      </c>
      <c r="G87" t="str">
        <f t="shared" si="4"/>
        <v>1.43</v>
      </c>
      <c r="H87" t="str">
        <f t="shared" si="5"/>
        <v>6263120</v>
      </c>
      <c r="J87" t="str">
        <f t="shared" si="6"/>
        <v>si</v>
      </c>
      <c r="K87" t="str">
        <f t="shared" si="7"/>
        <v>1.58</v>
      </c>
    </row>
    <row r="88" ht="15.75" customHeight="1">
      <c r="B88" t="str">
        <f t="shared" si="1"/>
        <v>3989200</v>
      </c>
      <c r="C88" s="5" t="str">
        <f t="shared" si="8"/>
        <v>158.30%</v>
      </c>
      <c r="D88" t="str">
        <f t="shared" si="2"/>
        <v>1.28</v>
      </c>
      <c r="E88" t="str">
        <f t="shared" si="3"/>
        <v>6023692</v>
      </c>
      <c r="G88" t="str">
        <f t="shared" si="4"/>
        <v>1.43</v>
      </c>
      <c r="H88" t="str">
        <f t="shared" si="5"/>
        <v>6302936</v>
      </c>
      <c r="J88" t="str">
        <f t="shared" si="6"/>
        <v>si</v>
      </c>
      <c r="K88" t="str">
        <f t="shared" si="7"/>
        <v>1.58</v>
      </c>
    </row>
    <row r="89" ht="15.75" customHeight="1">
      <c r="B89" t="str">
        <f t="shared" si="1"/>
        <v>4014400</v>
      </c>
      <c r="C89" s="5" t="str">
        <f t="shared" si="8"/>
        <v>159.30%</v>
      </c>
      <c r="D89" t="str">
        <f t="shared" si="2"/>
        <v>1.28</v>
      </c>
      <c r="E89" t="str">
        <f t="shared" si="3"/>
        <v>6061744</v>
      </c>
      <c r="G89" t="str">
        <f t="shared" si="4"/>
        <v>1.43</v>
      </c>
      <c r="H89" t="str">
        <f t="shared" si="5"/>
        <v>6342752</v>
      </c>
      <c r="J89" t="str">
        <f t="shared" si="6"/>
        <v>si</v>
      </c>
      <c r="K89" t="str">
        <f t="shared" si="7"/>
        <v>1.58</v>
      </c>
    </row>
    <row r="90" ht="15.75" customHeight="1">
      <c r="B90" t="str">
        <f t="shared" si="1"/>
        <v>4039600</v>
      </c>
      <c r="C90" s="5" t="str">
        <f t="shared" si="8"/>
        <v>160.30%</v>
      </c>
      <c r="D90" t="str">
        <f t="shared" si="2"/>
        <v>1.28</v>
      </c>
      <c r="E90" t="str">
        <f t="shared" si="3"/>
        <v>6099796</v>
      </c>
      <c r="G90" t="str">
        <f t="shared" si="4"/>
        <v>1.43</v>
      </c>
      <c r="H90" t="str">
        <f t="shared" si="5"/>
        <v>6382568</v>
      </c>
      <c r="J90" t="str">
        <f t="shared" si="6"/>
        <v>si</v>
      </c>
      <c r="K90" t="str">
        <f t="shared" si="7"/>
        <v>1.58</v>
      </c>
    </row>
    <row r="91" ht="15.75" customHeight="1">
      <c r="B91" t="str">
        <f t="shared" si="1"/>
        <v>4064800</v>
      </c>
      <c r="C91" s="5" t="str">
        <f t="shared" si="8"/>
        <v>161.30%</v>
      </c>
      <c r="D91" t="str">
        <f t="shared" si="2"/>
        <v>1.28</v>
      </c>
      <c r="E91" t="str">
        <f t="shared" si="3"/>
        <v>6137848</v>
      </c>
      <c r="G91" t="str">
        <f t="shared" si="4"/>
        <v>1.43</v>
      </c>
      <c r="H91" t="str">
        <f t="shared" si="5"/>
        <v>6422384</v>
      </c>
      <c r="J91" t="str">
        <f t="shared" si="6"/>
        <v>si</v>
      </c>
      <c r="K91" t="str">
        <f t="shared" si="7"/>
        <v>1.58</v>
      </c>
    </row>
    <row r="92" ht="15.75" customHeight="1">
      <c r="B92" t="str">
        <f t="shared" si="1"/>
        <v>4090000</v>
      </c>
      <c r="C92" s="5" t="str">
        <f t="shared" si="8"/>
        <v>162.30%</v>
      </c>
      <c r="D92" t="str">
        <f t="shared" si="2"/>
        <v>1.28</v>
      </c>
      <c r="E92" t="str">
        <f t="shared" si="3"/>
        <v>6175900</v>
      </c>
      <c r="G92" t="str">
        <f t="shared" si="4"/>
        <v>1.43</v>
      </c>
      <c r="H92" t="str">
        <f t="shared" si="5"/>
        <v>6462200</v>
      </c>
      <c r="J92" t="str">
        <f t="shared" si="6"/>
        <v>si</v>
      </c>
      <c r="K92" t="str">
        <f t="shared" si="7"/>
        <v>1.58</v>
      </c>
    </row>
    <row r="93" ht="15.75" customHeight="1">
      <c r="B93" t="str">
        <f t="shared" si="1"/>
        <v>4115200</v>
      </c>
      <c r="C93" s="5" t="str">
        <f t="shared" si="8"/>
        <v>163.30%</v>
      </c>
      <c r="D93" t="str">
        <f t="shared" si="2"/>
        <v>1.28</v>
      </c>
      <c r="E93" t="str">
        <f t="shared" si="3"/>
        <v>6213952</v>
      </c>
      <c r="G93" t="str">
        <f t="shared" si="4"/>
        <v>1.43</v>
      </c>
      <c r="H93" t="str">
        <f t="shared" si="5"/>
        <v>6502016</v>
      </c>
      <c r="J93" t="str">
        <f t="shared" si="6"/>
        <v>si</v>
      </c>
      <c r="K93" t="str">
        <f t="shared" si="7"/>
        <v>1.58</v>
      </c>
    </row>
    <row r="94" ht="15.75" customHeight="1">
      <c r="B94" t="str">
        <f t="shared" si="1"/>
        <v>4140400</v>
      </c>
      <c r="C94" s="5" t="str">
        <f t="shared" si="8"/>
        <v>164.30%</v>
      </c>
      <c r="D94" t="str">
        <f t="shared" si="2"/>
        <v>1.28</v>
      </c>
      <c r="E94" t="str">
        <f t="shared" si="3"/>
        <v>6252004</v>
      </c>
      <c r="G94" t="str">
        <f t="shared" si="4"/>
        <v>1.43</v>
      </c>
      <c r="H94" t="str">
        <f t="shared" si="5"/>
        <v>6541832</v>
      </c>
      <c r="J94" t="str">
        <f t="shared" si="6"/>
        <v>si</v>
      </c>
      <c r="K94" t="str">
        <f t="shared" si="7"/>
        <v>1.58</v>
      </c>
    </row>
    <row r="95" ht="15.75" customHeight="1">
      <c r="B95" t="str">
        <f t="shared" si="1"/>
        <v>4165600</v>
      </c>
      <c r="C95" s="5" t="str">
        <f t="shared" si="8"/>
        <v>165.30%</v>
      </c>
      <c r="D95" t="str">
        <f t="shared" si="2"/>
        <v>1.28</v>
      </c>
      <c r="E95" t="str">
        <f t="shared" si="3"/>
        <v>6290056</v>
      </c>
      <c r="G95" t="str">
        <f t="shared" si="4"/>
        <v>1.43</v>
      </c>
      <c r="H95" t="str">
        <f t="shared" si="5"/>
        <v>6581648</v>
      </c>
      <c r="J95" t="str">
        <f t="shared" si="6"/>
        <v>si</v>
      </c>
      <c r="K95" t="str">
        <f t="shared" si="7"/>
        <v>1.58</v>
      </c>
    </row>
    <row r="96" ht="15.75" customHeight="1">
      <c r="B96" t="str">
        <f t="shared" si="1"/>
        <v>4190800</v>
      </c>
      <c r="C96" s="5" t="str">
        <f t="shared" si="8"/>
        <v>166.30%</v>
      </c>
      <c r="D96" t="str">
        <f t="shared" si="2"/>
        <v>1.28</v>
      </c>
      <c r="E96" t="str">
        <f t="shared" si="3"/>
        <v>6328108</v>
      </c>
      <c r="G96" t="str">
        <f t="shared" si="4"/>
        <v>1.43</v>
      </c>
      <c r="H96" t="str">
        <f t="shared" si="5"/>
        <v>6621464</v>
      </c>
      <c r="J96" t="str">
        <f t="shared" si="6"/>
        <v>si</v>
      </c>
      <c r="K96" t="str">
        <f t="shared" si="7"/>
        <v>1.58</v>
      </c>
    </row>
    <row r="97" ht="15.75" customHeight="1">
      <c r="B97" t="str">
        <f t="shared" si="1"/>
        <v>4216000</v>
      </c>
      <c r="C97" s="5" t="str">
        <f t="shared" si="8"/>
        <v>167.30%</v>
      </c>
      <c r="D97" t="str">
        <f t="shared" si="2"/>
        <v>1.28</v>
      </c>
      <c r="E97" t="str">
        <f t="shared" si="3"/>
        <v>6366160</v>
      </c>
      <c r="G97" t="str">
        <f t="shared" si="4"/>
        <v>1.43</v>
      </c>
      <c r="H97" t="str">
        <f t="shared" si="5"/>
        <v>6661280</v>
      </c>
      <c r="J97" t="str">
        <f t="shared" si="6"/>
        <v>si</v>
      </c>
      <c r="K97" t="str">
        <f t="shared" si="7"/>
        <v>1.58</v>
      </c>
    </row>
    <row r="98" ht="15.75" customHeight="1">
      <c r="B98" t="str">
        <f t="shared" si="1"/>
        <v>4241200</v>
      </c>
      <c r="C98" s="5" t="str">
        <f t="shared" si="8"/>
        <v>168.30%</v>
      </c>
      <c r="D98" t="str">
        <f t="shared" si="2"/>
        <v>1.28</v>
      </c>
      <c r="E98" t="str">
        <f t="shared" si="3"/>
        <v>6404212</v>
      </c>
      <c r="G98" t="str">
        <f t="shared" si="4"/>
        <v>1.43</v>
      </c>
      <c r="H98" t="str">
        <f t="shared" si="5"/>
        <v>6701096</v>
      </c>
      <c r="J98" t="str">
        <f t="shared" si="6"/>
        <v>si</v>
      </c>
      <c r="K98" t="str">
        <f t="shared" si="7"/>
        <v>1.58</v>
      </c>
    </row>
    <row r="99" ht="15.75" customHeight="1">
      <c r="B99" t="str">
        <f t="shared" si="1"/>
        <v>4266400</v>
      </c>
      <c r="C99" s="5" t="str">
        <f t="shared" si="8"/>
        <v>169.30%</v>
      </c>
      <c r="D99" t="str">
        <f t="shared" si="2"/>
        <v>1.28</v>
      </c>
      <c r="E99" t="str">
        <f t="shared" si="3"/>
        <v>6442264</v>
      </c>
      <c r="G99" t="str">
        <f t="shared" si="4"/>
        <v>1.43</v>
      </c>
      <c r="H99" t="str">
        <f t="shared" si="5"/>
        <v>6740912</v>
      </c>
      <c r="J99" t="str">
        <f t="shared" si="6"/>
        <v>si</v>
      </c>
      <c r="K99" t="str">
        <f t="shared" si="7"/>
        <v>1.58</v>
      </c>
    </row>
    <row r="100" ht="15.75" customHeight="1">
      <c r="B100" t="str">
        <f t="shared" si="1"/>
        <v>4291600</v>
      </c>
      <c r="C100" s="5" t="str">
        <f t="shared" si="8"/>
        <v>170.30%</v>
      </c>
      <c r="D100" t="str">
        <f t="shared" si="2"/>
        <v>1.28</v>
      </c>
      <c r="E100" t="str">
        <f t="shared" si="3"/>
        <v>6480316</v>
      </c>
      <c r="G100" t="str">
        <f t="shared" si="4"/>
        <v>1.43</v>
      </c>
      <c r="H100" t="str">
        <f t="shared" si="5"/>
        <v>6780728</v>
      </c>
      <c r="J100" t="str">
        <f t="shared" si="6"/>
        <v>si</v>
      </c>
      <c r="K100" t="str">
        <f t="shared" si="7"/>
        <v>1.58</v>
      </c>
    </row>
    <row r="101" ht="15.75" customHeight="1">
      <c r="B101" t="str">
        <f t="shared" si="1"/>
        <v>4316800</v>
      </c>
      <c r="C101" s="5" t="str">
        <f t="shared" si="8"/>
        <v>171.30%</v>
      </c>
      <c r="D101" t="str">
        <f t="shared" si="2"/>
        <v>1.28</v>
      </c>
      <c r="E101" t="str">
        <f t="shared" si="3"/>
        <v>6518368</v>
      </c>
      <c r="G101" t="str">
        <f t="shared" si="4"/>
        <v>1.43</v>
      </c>
      <c r="H101" t="str">
        <f t="shared" si="5"/>
        <v>6820544</v>
      </c>
      <c r="J101" t="str">
        <f t="shared" si="6"/>
        <v>si</v>
      </c>
      <c r="K101" t="str">
        <f t="shared" si="7"/>
        <v>1.58</v>
      </c>
    </row>
    <row r="102" ht="15.75" customHeight="1">
      <c r="B102" t="str">
        <f t="shared" si="1"/>
        <v>4342000</v>
      </c>
      <c r="C102" s="5" t="str">
        <f t="shared" si="8"/>
        <v>172.30%</v>
      </c>
      <c r="D102" t="str">
        <f t="shared" si="2"/>
        <v>1.28</v>
      </c>
      <c r="E102" t="str">
        <f t="shared" si="3"/>
        <v>6556420</v>
      </c>
      <c r="G102" t="str">
        <f t="shared" si="4"/>
        <v>1.43</v>
      </c>
      <c r="H102" t="str">
        <f t="shared" si="5"/>
        <v>6860360</v>
      </c>
      <c r="J102" t="str">
        <f t="shared" si="6"/>
        <v>si</v>
      </c>
      <c r="K102" t="str">
        <f t="shared" si="7"/>
        <v>1.58</v>
      </c>
    </row>
    <row r="103" ht="15.75" customHeight="1">
      <c r="B103" t="str">
        <f t="shared" si="1"/>
        <v>4367200</v>
      </c>
      <c r="C103" s="5" t="str">
        <f t="shared" si="8"/>
        <v>173.30%</v>
      </c>
      <c r="D103" t="str">
        <f t="shared" si="2"/>
        <v>1.28</v>
      </c>
      <c r="E103" t="str">
        <f t="shared" si="3"/>
        <v>6594472</v>
      </c>
      <c r="G103" t="str">
        <f t="shared" si="4"/>
        <v>1.43</v>
      </c>
      <c r="H103" t="str">
        <f t="shared" si="5"/>
        <v>6900176</v>
      </c>
      <c r="J103" t="str">
        <f t="shared" si="6"/>
        <v>si</v>
      </c>
      <c r="K103" t="str">
        <f t="shared" si="7"/>
        <v>1.58</v>
      </c>
    </row>
    <row r="104" ht="15.75" customHeight="1">
      <c r="B104" t="str">
        <f t="shared" si="1"/>
        <v>4392400</v>
      </c>
      <c r="C104" s="5" t="str">
        <f t="shared" si="8"/>
        <v>174.30%</v>
      </c>
      <c r="D104" t="str">
        <f t="shared" si="2"/>
        <v>1.28</v>
      </c>
      <c r="E104" t="str">
        <f t="shared" si="3"/>
        <v>6632524</v>
      </c>
      <c r="G104" t="str">
        <f t="shared" si="4"/>
        <v>1.43</v>
      </c>
      <c r="H104" t="str">
        <f t="shared" si="5"/>
        <v>6939992</v>
      </c>
      <c r="J104" t="str">
        <f t="shared" si="6"/>
        <v>si</v>
      </c>
      <c r="K104" t="str">
        <f t="shared" si="7"/>
        <v>1.58</v>
      </c>
    </row>
    <row r="105" ht="15.75" customHeight="1">
      <c r="B105" t="str">
        <f t="shared" si="1"/>
        <v>4417600</v>
      </c>
      <c r="C105" s="5" t="str">
        <f t="shared" si="8"/>
        <v>175.30%</v>
      </c>
      <c r="D105" t="str">
        <f t="shared" si="2"/>
        <v>1.28</v>
      </c>
      <c r="E105" t="str">
        <f t="shared" si="3"/>
        <v>6670576</v>
      </c>
      <c r="G105" t="str">
        <f t="shared" si="4"/>
        <v>1.43</v>
      </c>
      <c r="H105" t="str">
        <f t="shared" si="5"/>
        <v>6979808</v>
      </c>
      <c r="J105" t="str">
        <f t="shared" si="6"/>
        <v>si</v>
      </c>
      <c r="K105" t="str">
        <f t="shared" si="7"/>
        <v>1.58</v>
      </c>
    </row>
    <row r="106" ht="15.75" customHeight="1">
      <c r="B106" t="str">
        <f t="shared" si="1"/>
        <v>4442800</v>
      </c>
      <c r="C106" s="5" t="str">
        <f t="shared" si="8"/>
        <v>176.30%</v>
      </c>
      <c r="D106" t="str">
        <f t="shared" si="2"/>
        <v>1.28</v>
      </c>
      <c r="E106" t="str">
        <f t="shared" si="3"/>
        <v>6708628</v>
      </c>
      <c r="G106" t="str">
        <f t="shared" si="4"/>
        <v>1.43</v>
      </c>
      <c r="H106" t="str">
        <f t="shared" si="5"/>
        <v>7019624</v>
      </c>
      <c r="J106" t="str">
        <f t="shared" si="6"/>
        <v>si</v>
      </c>
      <c r="K106" t="str">
        <f t="shared" si="7"/>
        <v>1.58</v>
      </c>
    </row>
    <row r="107" ht="15.75" customHeight="1">
      <c r="B107" t="str">
        <f t="shared" si="1"/>
        <v>4468000</v>
      </c>
      <c r="C107" s="5" t="str">
        <f t="shared" si="8"/>
        <v>177.30%</v>
      </c>
      <c r="D107" t="str">
        <f t="shared" si="2"/>
        <v>1.28</v>
      </c>
      <c r="E107" t="str">
        <f t="shared" si="3"/>
        <v>6746680</v>
      </c>
      <c r="G107" t="str">
        <f t="shared" si="4"/>
        <v>1.43</v>
      </c>
      <c r="H107" t="str">
        <f t="shared" si="5"/>
        <v>7059440</v>
      </c>
      <c r="J107" t="str">
        <f t="shared" si="6"/>
        <v>si</v>
      </c>
      <c r="K107" t="str">
        <f t="shared" si="7"/>
        <v>1.58</v>
      </c>
    </row>
    <row r="108" ht="15.75" customHeight="1">
      <c r="B108" t="str">
        <f t="shared" si="1"/>
        <v>4493200</v>
      </c>
      <c r="C108" s="5" t="str">
        <f t="shared" si="8"/>
        <v>178.30%</v>
      </c>
      <c r="D108" t="str">
        <f t="shared" si="2"/>
        <v>1.28</v>
      </c>
      <c r="E108" t="str">
        <f t="shared" si="3"/>
        <v>6784732</v>
      </c>
      <c r="G108" t="str">
        <f t="shared" si="4"/>
        <v>1.43</v>
      </c>
      <c r="H108" t="str">
        <f t="shared" si="5"/>
        <v>7099256</v>
      </c>
      <c r="J108" t="str">
        <f t="shared" si="6"/>
        <v>si</v>
      </c>
      <c r="K108" t="str">
        <f t="shared" si="7"/>
        <v>1.58</v>
      </c>
    </row>
    <row r="109" ht="15.75" customHeight="1">
      <c r="B109" t="str">
        <f t="shared" si="1"/>
        <v>4518400</v>
      </c>
      <c r="C109" s="5" t="str">
        <f t="shared" si="8"/>
        <v>179.30%</v>
      </c>
      <c r="D109" t="str">
        <f t="shared" si="2"/>
        <v>1.28</v>
      </c>
      <c r="E109" t="str">
        <f t="shared" si="3"/>
        <v>6822784</v>
      </c>
      <c r="G109" t="str">
        <f t="shared" si="4"/>
        <v>1.43</v>
      </c>
      <c r="H109" t="str">
        <f t="shared" si="5"/>
        <v>7139072</v>
      </c>
      <c r="J109" t="str">
        <f t="shared" si="6"/>
        <v>si</v>
      </c>
      <c r="K109" t="str">
        <f t="shared" si="7"/>
        <v>1.58</v>
      </c>
    </row>
    <row r="110" ht="15.75" customHeight="1">
      <c r="B110" t="str">
        <f t="shared" si="1"/>
        <v>4543600</v>
      </c>
      <c r="C110" s="5" t="str">
        <f t="shared" si="8"/>
        <v>180.30%</v>
      </c>
      <c r="D110" t="str">
        <f t="shared" si="2"/>
        <v>1.28</v>
      </c>
      <c r="E110" t="str">
        <f t="shared" si="3"/>
        <v>6860836</v>
      </c>
      <c r="G110" t="str">
        <f t="shared" si="4"/>
        <v>1.43</v>
      </c>
      <c r="H110" t="str">
        <f t="shared" si="5"/>
        <v>7178888</v>
      </c>
      <c r="J110" t="str">
        <f t="shared" si="6"/>
        <v>si</v>
      </c>
      <c r="K110" t="str">
        <f t="shared" si="7"/>
        <v>1.58</v>
      </c>
    </row>
    <row r="111" ht="15.75" customHeight="1">
      <c r="B111" t="str">
        <f t="shared" si="1"/>
        <v>4568800</v>
      </c>
      <c r="C111" s="5" t="str">
        <f t="shared" si="8"/>
        <v>181.30%</v>
      </c>
      <c r="D111" t="str">
        <f t="shared" si="2"/>
        <v>1.28</v>
      </c>
      <c r="E111" t="str">
        <f t="shared" si="3"/>
        <v>6898888</v>
      </c>
      <c r="G111" t="str">
        <f t="shared" si="4"/>
        <v>1.43</v>
      </c>
      <c r="H111" t="str">
        <f t="shared" si="5"/>
        <v>7218704</v>
      </c>
      <c r="J111" t="str">
        <f t="shared" si="6"/>
        <v>si</v>
      </c>
      <c r="K111" t="str">
        <f t="shared" si="7"/>
        <v>1.58</v>
      </c>
    </row>
    <row r="112" ht="15.75" customHeight="1">
      <c r="B112" t="str">
        <f t="shared" si="1"/>
        <v>4594000</v>
      </c>
      <c r="C112" s="5" t="str">
        <f t="shared" si="8"/>
        <v>182.30%</v>
      </c>
      <c r="D112" t="str">
        <f t="shared" si="2"/>
        <v>1.28</v>
      </c>
      <c r="E112" t="str">
        <f t="shared" si="3"/>
        <v>6936940</v>
      </c>
      <c r="G112" t="str">
        <f t="shared" si="4"/>
        <v>1.43</v>
      </c>
      <c r="H112" t="str">
        <f t="shared" si="5"/>
        <v>7258520</v>
      </c>
      <c r="J112" t="str">
        <f t="shared" si="6"/>
        <v>si</v>
      </c>
      <c r="K112" t="str">
        <f t="shared" si="7"/>
        <v>1.58</v>
      </c>
    </row>
    <row r="113" ht="15.75" customHeight="1">
      <c r="B113" t="str">
        <f t="shared" si="1"/>
        <v>4619200</v>
      </c>
      <c r="C113" s="5" t="str">
        <f t="shared" si="8"/>
        <v>183.30%</v>
      </c>
      <c r="D113" t="str">
        <f t="shared" si="2"/>
        <v>1.28</v>
      </c>
      <c r="E113" t="str">
        <f t="shared" si="3"/>
        <v>6974992</v>
      </c>
      <c r="G113" t="str">
        <f t="shared" si="4"/>
        <v>1.43</v>
      </c>
      <c r="H113" t="str">
        <f t="shared" si="5"/>
        <v>7298336</v>
      </c>
      <c r="J113" t="str">
        <f t="shared" si="6"/>
        <v>si</v>
      </c>
      <c r="K113" t="str">
        <f t="shared" si="7"/>
        <v>1.58</v>
      </c>
    </row>
    <row r="114" ht="15.75" customHeight="1">
      <c r="B114" t="str">
        <f t="shared" si="1"/>
        <v>4644400</v>
      </c>
      <c r="C114" s="5" t="str">
        <f t="shared" si="8"/>
        <v>184.30%</v>
      </c>
      <c r="D114" t="str">
        <f t="shared" si="2"/>
        <v>1.28</v>
      </c>
      <c r="E114" t="str">
        <f t="shared" si="3"/>
        <v>7013044</v>
      </c>
      <c r="G114" t="str">
        <f t="shared" si="4"/>
        <v>1.43</v>
      </c>
      <c r="H114" t="str">
        <f t="shared" si="5"/>
        <v>7338152</v>
      </c>
      <c r="J114" t="str">
        <f t="shared" si="6"/>
        <v>si</v>
      </c>
      <c r="K114" t="str">
        <f t="shared" si="7"/>
        <v>1.58</v>
      </c>
    </row>
    <row r="115" ht="15.75" customHeight="1">
      <c r="B115" t="str">
        <f t="shared" si="1"/>
        <v>4669600</v>
      </c>
      <c r="C115" s="5" t="str">
        <f t="shared" si="8"/>
        <v>185.30%</v>
      </c>
      <c r="D115" t="str">
        <f t="shared" si="2"/>
        <v>1.28</v>
      </c>
      <c r="E115" t="str">
        <f t="shared" si="3"/>
        <v>7051096</v>
      </c>
      <c r="G115" t="str">
        <f t="shared" si="4"/>
        <v>1.43</v>
      </c>
      <c r="H115" t="str">
        <f t="shared" si="5"/>
        <v>7377968</v>
      </c>
      <c r="J115" t="str">
        <f t="shared" si="6"/>
        <v>si</v>
      </c>
      <c r="K115" t="str">
        <f t="shared" si="7"/>
        <v>1.58</v>
      </c>
    </row>
    <row r="116" ht="15.75" customHeight="1">
      <c r="B116" t="str">
        <f t="shared" si="1"/>
        <v>4694800</v>
      </c>
      <c r="C116" s="5" t="str">
        <f t="shared" si="8"/>
        <v>186.30%</v>
      </c>
      <c r="D116" t="str">
        <f t="shared" si="2"/>
        <v>1.28</v>
      </c>
      <c r="E116" t="str">
        <f t="shared" si="3"/>
        <v>7089148</v>
      </c>
      <c r="G116" t="str">
        <f t="shared" si="4"/>
        <v>1.43</v>
      </c>
      <c r="H116" t="str">
        <f t="shared" si="5"/>
        <v>7417784</v>
      </c>
      <c r="J116" t="str">
        <f t="shared" si="6"/>
        <v>si</v>
      </c>
      <c r="K116" t="str">
        <f t="shared" si="7"/>
        <v>1.58</v>
      </c>
    </row>
    <row r="117" ht="15.75" customHeight="1">
      <c r="B117" t="str">
        <f t="shared" si="1"/>
        <v>4720000</v>
      </c>
      <c r="C117" s="5" t="str">
        <f t="shared" si="8"/>
        <v>187.30%</v>
      </c>
      <c r="D117" t="str">
        <f t="shared" si="2"/>
        <v>1.28</v>
      </c>
      <c r="E117" t="str">
        <f t="shared" si="3"/>
        <v>7127200</v>
      </c>
      <c r="G117" t="str">
        <f t="shared" si="4"/>
        <v>1.43</v>
      </c>
      <c r="H117" t="str">
        <f t="shared" si="5"/>
        <v>7457600</v>
      </c>
      <c r="J117" t="str">
        <f t="shared" si="6"/>
        <v>si</v>
      </c>
      <c r="K117" t="str">
        <f t="shared" si="7"/>
        <v>1.58</v>
      </c>
    </row>
    <row r="118" ht="15.75" customHeight="1">
      <c r="B118" t="str">
        <f t="shared" si="1"/>
        <v>4745200</v>
      </c>
      <c r="C118" s="5" t="str">
        <f t="shared" si="8"/>
        <v>188.30%</v>
      </c>
      <c r="D118" t="str">
        <f t="shared" si="2"/>
        <v>1.28</v>
      </c>
      <c r="E118" t="str">
        <f t="shared" si="3"/>
        <v>7165252</v>
      </c>
      <c r="G118" t="str">
        <f t="shared" si="4"/>
        <v>1.43</v>
      </c>
      <c r="H118" t="str">
        <f t="shared" si="5"/>
        <v>7497416</v>
      </c>
      <c r="J118" t="str">
        <f t="shared" si="6"/>
        <v>si</v>
      </c>
      <c r="K118" t="str">
        <f t="shared" si="7"/>
        <v>1.58</v>
      </c>
    </row>
    <row r="119" ht="15.75" customHeight="1">
      <c r="B119" t="str">
        <f t="shared" si="1"/>
        <v>4770400</v>
      </c>
      <c r="C119" s="5" t="str">
        <f t="shared" si="8"/>
        <v>189.30%</v>
      </c>
      <c r="D119" t="str">
        <f t="shared" si="2"/>
        <v>1.44</v>
      </c>
      <c r="E119" t="str">
        <f t="shared" si="3"/>
        <v>7966568</v>
      </c>
      <c r="G119" t="str">
        <f t="shared" si="4"/>
        <v>1.59</v>
      </c>
      <c r="H119" t="str">
        <f t="shared" si="5"/>
        <v>8300496</v>
      </c>
      <c r="J119" t="str">
        <f t="shared" si="6"/>
        <v>si</v>
      </c>
      <c r="K119" t="str">
        <f t="shared" si="7"/>
        <v>1.74</v>
      </c>
    </row>
    <row r="120" ht="15.75" customHeight="1">
      <c r="B120" t="str">
        <f t="shared" si="1"/>
        <v>4795600</v>
      </c>
      <c r="C120" s="5" t="str">
        <f t="shared" si="8"/>
        <v>190.30%</v>
      </c>
      <c r="D120" t="str">
        <f t="shared" si="2"/>
        <v>1.44</v>
      </c>
      <c r="E120" t="str">
        <f t="shared" si="3"/>
        <v>8008652</v>
      </c>
      <c r="G120" t="str">
        <f t="shared" si="4"/>
        <v>1.59</v>
      </c>
      <c r="H120" t="str">
        <f t="shared" si="5"/>
        <v>8344344</v>
      </c>
      <c r="J120" t="str">
        <f t="shared" si="6"/>
        <v>si</v>
      </c>
      <c r="K120" t="str">
        <f t="shared" si="7"/>
        <v>1.74</v>
      </c>
    </row>
    <row r="121" ht="15.75" customHeight="1">
      <c r="B121" t="str">
        <f t="shared" si="1"/>
        <v>4820800</v>
      </c>
      <c r="C121" s="5" t="str">
        <f t="shared" si="8"/>
        <v>191.30%</v>
      </c>
      <c r="D121" t="str">
        <f t="shared" si="2"/>
        <v>1.44</v>
      </c>
      <c r="E121" t="str">
        <f t="shared" si="3"/>
        <v>8050736</v>
      </c>
      <c r="G121" t="str">
        <f t="shared" si="4"/>
        <v>1.59</v>
      </c>
      <c r="H121" t="str">
        <f t="shared" si="5"/>
        <v>8388192</v>
      </c>
      <c r="J121" t="str">
        <f t="shared" si="6"/>
        <v>si</v>
      </c>
      <c r="K121" t="str">
        <f t="shared" si="7"/>
        <v>1.74</v>
      </c>
    </row>
    <row r="122" ht="15.75" customHeight="1">
      <c r="B122" t="str">
        <f t="shared" si="1"/>
        <v>4846000</v>
      </c>
      <c r="C122" s="5" t="str">
        <f t="shared" si="8"/>
        <v>192.30%</v>
      </c>
      <c r="D122" t="str">
        <f t="shared" si="2"/>
        <v>1.44</v>
      </c>
      <c r="E122" t="str">
        <f t="shared" si="3"/>
        <v>8092820</v>
      </c>
      <c r="G122" t="str">
        <f t="shared" si="4"/>
        <v>1.59</v>
      </c>
      <c r="H122" t="str">
        <f t="shared" si="5"/>
        <v>8432040</v>
      </c>
      <c r="J122" t="str">
        <f t="shared" si="6"/>
        <v>si</v>
      </c>
      <c r="K122" t="str">
        <f t="shared" si="7"/>
        <v>1.74</v>
      </c>
    </row>
    <row r="123" ht="15.75" customHeight="1">
      <c r="B123" t="str">
        <f t="shared" si="1"/>
        <v>4871200</v>
      </c>
      <c r="C123" s="5" t="str">
        <f t="shared" si="8"/>
        <v>193.30%</v>
      </c>
      <c r="D123" t="str">
        <f t="shared" si="2"/>
        <v>1.44</v>
      </c>
      <c r="E123" t="str">
        <f t="shared" si="3"/>
        <v>8134904</v>
      </c>
      <c r="G123" t="str">
        <f t="shared" si="4"/>
        <v>1.59</v>
      </c>
      <c r="H123" t="str">
        <f t="shared" si="5"/>
        <v>8475888</v>
      </c>
      <c r="J123" t="str">
        <f t="shared" si="6"/>
        <v>si</v>
      </c>
      <c r="K123" t="str">
        <f t="shared" si="7"/>
        <v>1.74</v>
      </c>
    </row>
    <row r="124" ht="15.75" customHeight="1">
      <c r="B124" t="str">
        <f t="shared" si="1"/>
        <v>4896400</v>
      </c>
      <c r="C124" s="5" t="str">
        <f t="shared" si="8"/>
        <v>194.30%</v>
      </c>
      <c r="D124" t="str">
        <f t="shared" si="2"/>
        <v>1.44</v>
      </c>
      <c r="E124" t="str">
        <f t="shared" si="3"/>
        <v>8176988</v>
      </c>
      <c r="G124" t="str">
        <f t="shared" si="4"/>
        <v>1.59</v>
      </c>
      <c r="H124" t="str">
        <f t="shared" si="5"/>
        <v>8519736</v>
      </c>
      <c r="J124" t="str">
        <f t="shared" si="6"/>
        <v>si</v>
      </c>
      <c r="K124" t="str">
        <f t="shared" si="7"/>
        <v>1.74</v>
      </c>
    </row>
    <row r="125" ht="15.75" customHeight="1">
      <c r="B125" t="str">
        <f t="shared" si="1"/>
        <v>4921600</v>
      </c>
      <c r="C125" s="5" t="str">
        <f t="shared" si="8"/>
        <v>195.30%</v>
      </c>
      <c r="D125" t="str">
        <f t="shared" si="2"/>
        <v>1.44</v>
      </c>
      <c r="E125" t="str">
        <f t="shared" si="3"/>
        <v>8219072</v>
      </c>
      <c r="G125" t="str">
        <f t="shared" si="4"/>
        <v>1.59</v>
      </c>
      <c r="H125" t="str">
        <f t="shared" si="5"/>
        <v>8563584</v>
      </c>
      <c r="J125" t="str">
        <f t="shared" si="6"/>
        <v>si</v>
      </c>
      <c r="K125" t="str">
        <f t="shared" si="7"/>
        <v>1.74</v>
      </c>
    </row>
    <row r="126" ht="15.75" customHeight="1">
      <c r="B126" t="str">
        <f t="shared" si="1"/>
        <v>4946800</v>
      </c>
      <c r="C126" s="5" t="str">
        <f t="shared" si="8"/>
        <v>196.30%</v>
      </c>
      <c r="D126" t="str">
        <f t="shared" si="2"/>
        <v>1.44</v>
      </c>
      <c r="E126" t="str">
        <f t="shared" si="3"/>
        <v>8261156</v>
      </c>
      <c r="G126" t="str">
        <f t="shared" si="4"/>
        <v>1.59</v>
      </c>
      <c r="H126" t="str">
        <f t="shared" si="5"/>
        <v>8607432</v>
      </c>
      <c r="J126" t="str">
        <f t="shared" si="6"/>
        <v>si</v>
      </c>
      <c r="K126" t="str">
        <f t="shared" si="7"/>
        <v>1.74</v>
      </c>
    </row>
    <row r="127" ht="15.75" customHeight="1">
      <c r="B127" t="str">
        <f t="shared" si="1"/>
        <v>4972000</v>
      </c>
      <c r="C127" s="5" t="str">
        <f t="shared" si="8"/>
        <v>197.30%</v>
      </c>
      <c r="D127" t="str">
        <f t="shared" si="2"/>
        <v>1.44</v>
      </c>
      <c r="E127" t="str">
        <f t="shared" si="3"/>
        <v>8303240</v>
      </c>
      <c r="G127" t="str">
        <f t="shared" si="4"/>
        <v>1.59</v>
      </c>
      <c r="H127" t="str">
        <f t="shared" si="5"/>
        <v>8651280</v>
      </c>
      <c r="J127" t="str">
        <f t="shared" si="6"/>
        <v>si</v>
      </c>
      <c r="K127" t="str">
        <f t="shared" si="7"/>
        <v>1.74</v>
      </c>
    </row>
    <row r="128" ht="15.75" customHeight="1">
      <c r="B128" t="str">
        <f t="shared" si="1"/>
        <v>4997200</v>
      </c>
      <c r="C128" s="5" t="str">
        <f t="shared" si="8"/>
        <v>198.30%</v>
      </c>
      <c r="D128" t="str">
        <f t="shared" si="2"/>
        <v>1.44</v>
      </c>
      <c r="E128" t="str">
        <f t="shared" si="3"/>
        <v>8345324</v>
      </c>
      <c r="G128" t="str">
        <f t="shared" si="4"/>
        <v>1.59</v>
      </c>
      <c r="H128" t="str">
        <f t="shared" si="5"/>
        <v>8695128</v>
      </c>
      <c r="J128" t="str">
        <f t="shared" si="6"/>
        <v>si</v>
      </c>
      <c r="K128" t="str">
        <f t="shared" si="7"/>
        <v>1.74</v>
      </c>
    </row>
    <row r="129" ht="15.75" customHeight="1">
      <c r="B129" t="str">
        <f t="shared" si="1"/>
        <v>5022400</v>
      </c>
      <c r="C129" s="5" t="str">
        <f t="shared" si="8"/>
        <v>199.30%</v>
      </c>
      <c r="D129" t="str">
        <f t="shared" si="2"/>
        <v>1.44</v>
      </c>
      <c r="E129" t="str">
        <f t="shared" si="3"/>
        <v>8387408</v>
      </c>
      <c r="G129" t="str">
        <f t="shared" si="4"/>
        <v>1.59</v>
      </c>
      <c r="H129" t="str">
        <f t="shared" si="5"/>
        <v>8738976</v>
      </c>
      <c r="J129" t="str">
        <f t="shared" si="6"/>
        <v>si</v>
      </c>
      <c r="K129" t="str">
        <f t="shared" si="7"/>
        <v>1.74</v>
      </c>
    </row>
    <row r="130" ht="15.75" customHeight="1">
      <c r="B130" t="str">
        <f t="shared" si="1"/>
        <v>5047600</v>
      </c>
      <c r="C130" s="5" t="str">
        <f t="shared" si="8"/>
        <v>200.30%</v>
      </c>
      <c r="D130" t="str">
        <f t="shared" si="2"/>
        <v>1.44</v>
      </c>
      <c r="E130" t="str">
        <f t="shared" si="3"/>
        <v>8429492</v>
      </c>
      <c r="G130" t="str">
        <f t="shared" si="4"/>
        <v>1.59</v>
      </c>
      <c r="H130" t="str">
        <f t="shared" si="5"/>
        <v>8782824</v>
      </c>
      <c r="J130" t="str">
        <f t="shared" si="6"/>
        <v>si</v>
      </c>
      <c r="K130" t="str">
        <f t="shared" si="7"/>
        <v>1.74</v>
      </c>
    </row>
    <row r="131" ht="15.75" customHeight="1">
      <c r="B131" t="str">
        <f t="shared" si="1"/>
        <v>5072800</v>
      </c>
      <c r="C131" s="5" t="str">
        <f t="shared" si="8"/>
        <v>201.30%</v>
      </c>
      <c r="D131" t="str">
        <f t="shared" si="2"/>
        <v>1.44</v>
      </c>
      <c r="E131" t="str">
        <f t="shared" si="3"/>
        <v>8471576</v>
      </c>
      <c r="G131" t="str">
        <f t="shared" si="4"/>
        <v>1.59</v>
      </c>
      <c r="H131" t="str">
        <f t="shared" si="5"/>
        <v>8826672</v>
      </c>
      <c r="J131" t="str">
        <f t="shared" si="6"/>
        <v>si</v>
      </c>
      <c r="K131" t="str">
        <f t="shared" si="7"/>
        <v>1.74</v>
      </c>
    </row>
    <row r="132" ht="15.75" customHeight="1">
      <c r="B132" t="str">
        <f t="shared" si="1"/>
        <v>5098000</v>
      </c>
      <c r="C132" s="5" t="str">
        <f t="shared" si="8"/>
        <v>202.30%</v>
      </c>
      <c r="D132" t="str">
        <f t="shared" si="2"/>
        <v>1.44</v>
      </c>
      <c r="E132" t="str">
        <f t="shared" si="3"/>
        <v>8513660</v>
      </c>
      <c r="G132" t="str">
        <f t="shared" si="4"/>
        <v>1.59</v>
      </c>
      <c r="H132" t="str">
        <f t="shared" si="5"/>
        <v>8870520</v>
      </c>
      <c r="J132" t="str">
        <f t="shared" si="6"/>
        <v>si</v>
      </c>
      <c r="K132" t="str">
        <f t="shared" si="7"/>
        <v>1.74</v>
      </c>
    </row>
    <row r="133" ht="15.75" customHeight="1">
      <c r="B133" t="str">
        <f t="shared" si="1"/>
        <v>5123200</v>
      </c>
      <c r="C133" s="5" t="str">
        <f t="shared" si="8"/>
        <v>203.30%</v>
      </c>
      <c r="D133" t="str">
        <f t="shared" si="2"/>
        <v>1.44</v>
      </c>
      <c r="E133" t="str">
        <f t="shared" si="3"/>
        <v>8555744</v>
      </c>
      <c r="G133" t="str">
        <f t="shared" si="4"/>
        <v>1.59</v>
      </c>
      <c r="H133" t="str">
        <f t="shared" si="5"/>
        <v>8914368</v>
      </c>
      <c r="J133" t="str">
        <f t="shared" si="6"/>
        <v>si</v>
      </c>
      <c r="K133" t="str">
        <f t="shared" si="7"/>
        <v>1.74</v>
      </c>
    </row>
    <row r="134" ht="15.75" customHeight="1">
      <c r="B134" t="str">
        <f t="shared" si="1"/>
        <v>5148400</v>
      </c>
      <c r="C134" s="5" t="str">
        <f t="shared" si="8"/>
        <v>204.30%</v>
      </c>
      <c r="D134" t="str">
        <f t="shared" si="2"/>
        <v>1.44</v>
      </c>
      <c r="E134" t="str">
        <f t="shared" si="3"/>
        <v>8597828</v>
      </c>
      <c r="G134" t="str">
        <f t="shared" si="4"/>
        <v>1.59</v>
      </c>
      <c r="H134" t="str">
        <f t="shared" si="5"/>
        <v>8958216</v>
      </c>
      <c r="J134" t="str">
        <f t="shared" si="6"/>
        <v>si</v>
      </c>
      <c r="K134" t="str">
        <f t="shared" si="7"/>
        <v>1.74</v>
      </c>
    </row>
    <row r="135" ht="15.75" customHeight="1">
      <c r="B135" t="str">
        <f t="shared" si="1"/>
        <v>5173600</v>
      </c>
      <c r="C135" s="5" t="str">
        <f t="shared" si="8"/>
        <v>205.30%</v>
      </c>
      <c r="D135" t="str">
        <f t="shared" si="2"/>
        <v>1.44</v>
      </c>
      <c r="E135" t="str">
        <f t="shared" si="3"/>
        <v>8639912</v>
      </c>
      <c r="G135" t="str">
        <f t="shared" si="4"/>
        <v>1.59</v>
      </c>
      <c r="H135" t="str">
        <f t="shared" si="5"/>
        <v>9002064</v>
      </c>
      <c r="J135" t="str">
        <f t="shared" si="6"/>
        <v>si</v>
      </c>
      <c r="K135" t="str">
        <f t="shared" si="7"/>
        <v>1.74</v>
      </c>
    </row>
    <row r="136" ht="15.75" customHeight="1">
      <c r="B136" t="str">
        <f t="shared" si="1"/>
        <v>5198800</v>
      </c>
      <c r="C136" s="5" t="str">
        <f t="shared" si="8"/>
        <v>206.30%</v>
      </c>
      <c r="D136" t="str">
        <f t="shared" si="2"/>
        <v>1.44</v>
      </c>
      <c r="E136" t="str">
        <f t="shared" si="3"/>
        <v>8681996</v>
      </c>
      <c r="G136" t="str">
        <f t="shared" si="4"/>
        <v>1.59</v>
      </c>
      <c r="H136" t="str">
        <f t="shared" si="5"/>
        <v>9045912</v>
      </c>
      <c r="J136" t="str">
        <f t="shared" si="6"/>
        <v>si</v>
      </c>
      <c r="K136" t="str">
        <f t="shared" si="7"/>
        <v>1.74</v>
      </c>
    </row>
    <row r="137" ht="15.75" customHeight="1">
      <c r="B137" t="str">
        <f t="shared" si="1"/>
        <v>5224000</v>
      </c>
      <c r="C137" s="5" t="str">
        <f t="shared" si="8"/>
        <v>207.30%</v>
      </c>
      <c r="D137" t="str">
        <f t="shared" si="2"/>
        <v>1.44</v>
      </c>
      <c r="E137" t="str">
        <f t="shared" si="3"/>
        <v>8724080</v>
      </c>
      <c r="G137" t="str">
        <f t="shared" si="4"/>
        <v>1.59</v>
      </c>
      <c r="H137" t="str">
        <f t="shared" si="5"/>
        <v>9089760</v>
      </c>
      <c r="J137" t="str">
        <f t="shared" si="6"/>
        <v>si</v>
      </c>
      <c r="K137" t="str">
        <f t="shared" si="7"/>
        <v>1.74</v>
      </c>
    </row>
    <row r="138" ht="15.75" customHeight="1">
      <c r="B138" t="str">
        <f t="shared" si="1"/>
        <v>5249200</v>
      </c>
      <c r="C138" s="5" t="str">
        <f t="shared" si="8"/>
        <v>208.30%</v>
      </c>
      <c r="D138" t="str">
        <f t="shared" si="2"/>
        <v>1.44</v>
      </c>
      <c r="E138" t="str">
        <f t="shared" si="3"/>
        <v>8766164</v>
      </c>
      <c r="G138" t="str">
        <f t="shared" si="4"/>
        <v>1.59</v>
      </c>
      <c r="H138" t="str">
        <f t="shared" si="5"/>
        <v>9133608</v>
      </c>
      <c r="J138" t="str">
        <f t="shared" si="6"/>
        <v>si</v>
      </c>
      <c r="K138" t="str">
        <f t="shared" si="7"/>
        <v>1.74</v>
      </c>
    </row>
    <row r="139" ht="15.75" customHeight="1">
      <c r="B139" t="str">
        <f t="shared" si="1"/>
        <v>5274400</v>
      </c>
      <c r="C139" s="5" t="str">
        <f t="shared" si="8"/>
        <v>209.30%</v>
      </c>
      <c r="D139" t="str">
        <f t="shared" si="2"/>
        <v>1.44</v>
      </c>
      <c r="E139" t="str">
        <f t="shared" si="3"/>
        <v>8808248</v>
      </c>
      <c r="G139" t="str">
        <f t="shared" si="4"/>
        <v>1.59</v>
      </c>
      <c r="H139" t="str">
        <f t="shared" si="5"/>
        <v>9177456</v>
      </c>
      <c r="J139" t="str">
        <f t="shared" si="6"/>
        <v>si</v>
      </c>
      <c r="K139" t="str">
        <f t="shared" si="7"/>
        <v>1.74</v>
      </c>
    </row>
    <row r="140" ht="15.75" customHeight="1">
      <c r="B140" t="str">
        <f t="shared" si="1"/>
        <v>5299600</v>
      </c>
      <c r="C140" s="5" t="str">
        <f t="shared" si="8"/>
        <v>210.30%</v>
      </c>
      <c r="D140" t="str">
        <f t="shared" si="2"/>
        <v>1.44</v>
      </c>
      <c r="E140" t="str">
        <f t="shared" si="3"/>
        <v>8850332</v>
      </c>
      <c r="G140" t="str">
        <f t="shared" si="4"/>
        <v>1.59</v>
      </c>
      <c r="H140" t="str">
        <f t="shared" si="5"/>
        <v>9221304</v>
      </c>
      <c r="J140" t="str">
        <f t="shared" si="6"/>
        <v>si</v>
      </c>
      <c r="K140" t="str">
        <f t="shared" si="7"/>
        <v>1.74</v>
      </c>
    </row>
    <row r="141" ht="15.75" customHeight="1">
      <c r="B141" t="str">
        <f t="shared" si="1"/>
        <v>5324800</v>
      </c>
      <c r="C141" s="5" t="str">
        <f t="shared" si="8"/>
        <v>211.30%</v>
      </c>
      <c r="D141" t="str">
        <f t="shared" si="2"/>
        <v>1.44</v>
      </c>
      <c r="E141" t="str">
        <f t="shared" si="3"/>
        <v>8892416</v>
      </c>
      <c r="G141" t="str">
        <f t="shared" si="4"/>
        <v>1.59</v>
      </c>
      <c r="H141" t="str">
        <f t="shared" si="5"/>
        <v>9265152</v>
      </c>
      <c r="J141" t="str">
        <f t="shared" si="6"/>
        <v>si</v>
      </c>
      <c r="K141" t="str">
        <f t="shared" si="7"/>
        <v>1.74</v>
      </c>
    </row>
    <row r="142" ht="15.75" customHeight="1">
      <c r="B142" t="str">
        <f t="shared" si="1"/>
        <v>5350000</v>
      </c>
      <c r="C142" s="5" t="str">
        <f t="shared" si="8"/>
        <v>212.30%</v>
      </c>
      <c r="D142" t="str">
        <f t="shared" si="2"/>
        <v>1.44</v>
      </c>
      <c r="E142" t="str">
        <f t="shared" si="3"/>
        <v>8934500</v>
      </c>
      <c r="G142" t="str">
        <f t="shared" si="4"/>
        <v>1.59</v>
      </c>
      <c r="H142" t="str">
        <f t="shared" si="5"/>
        <v>9309000</v>
      </c>
      <c r="J142" t="str">
        <f t="shared" si="6"/>
        <v>si</v>
      </c>
      <c r="K142" t="str">
        <f t="shared" si="7"/>
        <v>1.74</v>
      </c>
    </row>
    <row r="143" ht="15.75" customHeight="1">
      <c r="B143" t="str">
        <f t="shared" si="1"/>
        <v>5375200</v>
      </c>
      <c r="C143" s="5" t="str">
        <f t="shared" si="8"/>
        <v>213.30%</v>
      </c>
      <c r="D143" t="str">
        <f t="shared" si="2"/>
        <v>1.44</v>
      </c>
      <c r="E143" t="str">
        <f t="shared" si="3"/>
        <v>8976584</v>
      </c>
      <c r="G143" t="str">
        <f t="shared" si="4"/>
        <v>1.59</v>
      </c>
      <c r="H143" t="str">
        <f t="shared" si="5"/>
        <v>9352848</v>
      </c>
      <c r="J143" t="str">
        <f t="shared" si="6"/>
        <v>si</v>
      </c>
      <c r="K143" t="str">
        <f t="shared" si="7"/>
        <v>1.74</v>
      </c>
    </row>
    <row r="144" ht="15.75" customHeight="1">
      <c r="B144" t="str">
        <f t="shared" si="1"/>
        <v>5400400</v>
      </c>
      <c r="C144" s="5" t="str">
        <f t="shared" si="8"/>
        <v>214.30%</v>
      </c>
      <c r="D144" t="str">
        <f t="shared" si="2"/>
        <v>1.44</v>
      </c>
      <c r="E144" t="str">
        <f t="shared" si="3"/>
        <v>9018668</v>
      </c>
      <c r="G144" t="str">
        <f t="shared" si="4"/>
        <v>1.59</v>
      </c>
      <c r="H144" t="str">
        <f t="shared" si="5"/>
        <v>9396696</v>
      </c>
      <c r="J144" t="str">
        <f t="shared" si="6"/>
        <v>si</v>
      </c>
      <c r="K144" t="str">
        <f t="shared" si="7"/>
        <v>1.74</v>
      </c>
    </row>
    <row r="145" ht="15.75" customHeight="1">
      <c r="B145" t="str">
        <f t="shared" si="1"/>
        <v>5425600</v>
      </c>
      <c r="C145" s="5" t="str">
        <f t="shared" si="8"/>
        <v>215.30%</v>
      </c>
      <c r="D145" t="str">
        <f t="shared" si="2"/>
        <v>1.44</v>
      </c>
      <c r="E145" t="str">
        <f t="shared" si="3"/>
        <v>9060752</v>
      </c>
      <c r="G145" t="str">
        <f t="shared" si="4"/>
        <v>1.59</v>
      </c>
      <c r="H145" t="str">
        <f t="shared" si="5"/>
        <v>9440544</v>
      </c>
      <c r="J145" t="str">
        <f t="shared" si="6"/>
        <v>si</v>
      </c>
      <c r="K145" t="str">
        <f t="shared" si="7"/>
        <v>1.74</v>
      </c>
    </row>
    <row r="146" ht="15.75" customHeight="1">
      <c r="B146" t="str">
        <f t="shared" si="1"/>
        <v>5450800</v>
      </c>
      <c r="C146" s="5" t="str">
        <f t="shared" si="8"/>
        <v>216.30%</v>
      </c>
      <c r="D146" t="str">
        <f t="shared" si="2"/>
        <v>1.44</v>
      </c>
      <c r="E146" t="str">
        <f t="shared" si="3"/>
        <v>9102836</v>
      </c>
      <c r="G146" t="str">
        <f t="shared" si="4"/>
        <v>1.59</v>
      </c>
      <c r="H146" t="str">
        <f t="shared" si="5"/>
        <v>9484392</v>
      </c>
      <c r="J146" t="str">
        <f t="shared" si="6"/>
        <v>si</v>
      </c>
      <c r="K146" t="str">
        <f t="shared" si="7"/>
        <v>1.74</v>
      </c>
    </row>
    <row r="147" ht="15.75" customHeight="1">
      <c r="B147" t="str">
        <f t="shared" si="1"/>
        <v>5476000</v>
      </c>
      <c r="C147" s="5" t="str">
        <f t="shared" si="8"/>
        <v>217.30%</v>
      </c>
      <c r="D147" t="str">
        <f t="shared" si="2"/>
        <v>1.44</v>
      </c>
      <c r="E147" t="str">
        <f t="shared" si="3"/>
        <v>9144920</v>
      </c>
      <c r="G147" t="str">
        <f t="shared" si="4"/>
        <v>1.59</v>
      </c>
      <c r="H147" t="str">
        <f t="shared" si="5"/>
        <v>9528240</v>
      </c>
      <c r="J147" t="str">
        <f t="shared" si="6"/>
        <v>si</v>
      </c>
      <c r="K147" t="str">
        <f t="shared" si="7"/>
        <v>1.74</v>
      </c>
    </row>
    <row r="148" ht="15.75" customHeight="1">
      <c r="B148" t="str">
        <f t="shared" si="1"/>
        <v>5501200</v>
      </c>
      <c r="C148" s="5" t="str">
        <f t="shared" si="8"/>
        <v>218.30%</v>
      </c>
      <c r="D148" t="str">
        <f t="shared" si="2"/>
        <v>1.44</v>
      </c>
      <c r="E148" t="str">
        <f t="shared" si="3"/>
        <v>9187004</v>
      </c>
      <c r="G148" t="str">
        <f t="shared" si="4"/>
        <v>1.59</v>
      </c>
      <c r="H148" t="str">
        <f t="shared" si="5"/>
        <v>9572088</v>
      </c>
      <c r="J148" t="str">
        <f t="shared" si="6"/>
        <v>si</v>
      </c>
      <c r="K148" t="str">
        <f t="shared" si="7"/>
        <v>1.74</v>
      </c>
    </row>
    <row r="149" ht="15.75" customHeight="1">
      <c r="B149" t="str">
        <f t="shared" si="1"/>
        <v>5526400</v>
      </c>
      <c r="C149" s="5" t="str">
        <f t="shared" si="8"/>
        <v>219.30%</v>
      </c>
      <c r="D149" t="str">
        <f t="shared" si="2"/>
        <v>1.44</v>
      </c>
      <c r="E149" t="str">
        <f t="shared" si="3"/>
        <v>9229088</v>
      </c>
      <c r="G149" t="str">
        <f t="shared" si="4"/>
        <v>1.59</v>
      </c>
      <c r="H149" t="str">
        <f t="shared" si="5"/>
        <v>9615936</v>
      </c>
      <c r="J149" t="str">
        <f t="shared" si="6"/>
        <v>si</v>
      </c>
      <c r="K149" t="str">
        <f t="shared" si="7"/>
        <v>1.74</v>
      </c>
    </row>
    <row r="150" ht="15.75" customHeight="1">
      <c r="B150" t="str">
        <f t="shared" si="1"/>
        <v>5551600</v>
      </c>
      <c r="C150" s="5" t="str">
        <f t="shared" si="8"/>
        <v>220.30%</v>
      </c>
      <c r="D150" t="str">
        <f t="shared" si="2"/>
        <v>1.44</v>
      </c>
      <c r="E150" t="str">
        <f t="shared" si="3"/>
        <v>9271172</v>
      </c>
      <c r="G150" t="str">
        <f t="shared" si="4"/>
        <v>1.59</v>
      </c>
      <c r="H150" t="str">
        <f t="shared" si="5"/>
        <v>9659784</v>
      </c>
      <c r="J150" t="str">
        <f t="shared" si="6"/>
        <v>si</v>
      </c>
      <c r="K150" t="str">
        <f t="shared" si="7"/>
        <v>1.74</v>
      </c>
    </row>
    <row r="151" ht="15.75" customHeight="1">
      <c r="B151" t="str">
        <f t="shared" si="1"/>
        <v>5576800</v>
      </c>
      <c r="C151" s="5" t="str">
        <f t="shared" si="8"/>
        <v>221.30%</v>
      </c>
      <c r="D151" t="str">
        <f t="shared" si="2"/>
        <v>1.44</v>
      </c>
      <c r="E151" t="str">
        <f t="shared" si="3"/>
        <v>9313256</v>
      </c>
      <c r="G151" t="str">
        <f t="shared" si="4"/>
        <v>1.59</v>
      </c>
      <c r="H151" t="str">
        <f t="shared" si="5"/>
        <v>9703632</v>
      </c>
      <c r="J151" t="str">
        <f t="shared" si="6"/>
        <v>si</v>
      </c>
      <c r="K151" t="str">
        <f t="shared" si="7"/>
        <v>1.74</v>
      </c>
    </row>
    <row r="152" ht="15.75" customHeight="1">
      <c r="B152" t="str">
        <f t="shared" si="1"/>
        <v>5602000</v>
      </c>
      <c r="C152" s="5" t="str">
        <f t="shared" si="8"/>
        <v>222.30%</v>
      </c>
      <c r="D152" t="str">
        <f t="shared" si="2"/>
        <v>1.44</v>
      </c>
      <c r="E152" t="str">
        <f t="shared" si="3"/>
        <v>9355340</v>
      </c>
      <c r="G152" t="str">
        <f t="shared" si="4"/>
        <v>1.59</v>
      </c>
      <c r="H152" t="str">
        <f t="shared" si="5"/>
        <v>9747480</v>
      </c>
      <c r="J152" t="str">
        <f t="shared" si="6"/>
        <v>si</v>
      </c>
      <c r="K152" t="str">
        <f t="shared" si="7"/>
        <v>1.74</v>
      </c>
    </row>
    <row r="153" ht="15.75" customHeight="1">
      <c r="B153" t="str">
        <f t="shared" si="1"/>
        <v>5627200</v>
      </c>
      <c r="C153" s="5" t="str">
        <f t="shared" si="8"/>
        <v>223.30%</v>
      </c>
      <c r="D153" t="str">
        <f t="shared" si="2"/>
        <v>1.44</v>
      </c>
      <c r="E153" t="str">
        <f t="shared" si="3"/>
        <v>9397424</v>
      </c>
      <c r="G153" t="str">
        <f t="shared" si="4"/>
        <v>1.59</v>
      </c>
      <c r="H153" t="str">
        <f t="shared" si="5"/>
        <v>9791328</v>
      </c>
      <c r="J153" t="str">
        <f t="shared" si="6"/>
        <v>si</v>
      </c>
      <c r="K153" t="str">
        <f t="shared" si="7"/>
        <v>1.74</v>
      </c>
    </row>
    <row r="154" ht="15.75" customHeight="1">
      <c r="B154" t="str">
        <f t="shared" si="1"/>
        <v>5652400</v>
      </c>
      <c r="C154" s="5" t="str">
        <f t="shared" si="8"/>
        <v>224.30%</v>
      </c>
      <c r="D154" t="str">
        <f t="shared" si="2"/>
        <v>1.44</v>
      </c>
      <c r="E154" t="str">
        <f t="shared" si="3"/>
        <v>9439508</v>
      </c>
      <c r="G154" t="str">
        <f t="shared" si="4"/>
        <v>1.59</v>
      </c>
      <c r="H154" t="str">
        <f t="shared" si="5"/>
        <v>9835176</v>
      </c>
      <c r="J154" t="str">
        <f t="shared" si="6"/>
        <v>si</v>
      </c>
      <c r="K154" t="str">
        <f t="shared" si="7"/>
        <v>1.74</v>
      </c>
    </row>
    <row r="155" ht="15.75" customHeight="1">
      <c r="B155" t="str">
        <f t="shared" si="1"/>
        <v>5677600</v>
      </c>
      <c r="C155" s="5" t="str">
        <f t="shared" si="8"/>
        <v>225.30%</v>
      </c>
      <c r="D155" t="str">
        <f t="shared" si="2"/>
        <v>1.44</v>
      </c>
      <c r="E155" t="str">
        <f t="shared" si="3"/>
        <v>9481592</v>
      </c>
      <c r="G155" t="str">
        <f t="shared" si="4"/>
        <v>1.59</v>
      </c>
      <c r="H155" t="str">
        <f t="shared" si="5"/>
        <v>9879024</v>
      </c>
      <c r="J155" t="str">
        <f t="shared" si="6"/>
        <v>si</v>
      </c>
      <c r="K155" t="str">
        <f t="shared" si="7"/>
        <v>1.74</v>
      </c>
    </row>
    <row r="156" ht="15.75" customHeight="1">
      <c r="B156" t="str">
        <f t="shared" si="1"/>
        <v>5702800</v>
      </c>
      <c r="C156" s="5" t="str">
        <f t="shared" si="8"/>
        <v>226.30%</v>
      </c>
      <c r="D156" t="str">
        <f t="shared" si="2"/>
        <v>1.44</v>
      </c>
      <c r="E156" t="str">
        <f t="shared" si="3"/>
        <v>9523676</v>
      </c>
      <c r="G156" t="str">
        <f t="shared" si="4"/>
        <v>1.59</v>
      </c>
      <c r="H156" t="str">
        <f t="shared" si="5"/>
        <v>9922872</v>
      </c>
      <c r="J156" t="str">
        <f t="shared" si="6"/>
        <v>si</v>
      </c>
      <c r="K156" t="str">
        <f t="shared" si="7"/>
        <v>1.74</v>
      </c>
    </row>
    <row r="157" ht="15.75" customHeight="1">
      <c r="B157" t="str">
        <f t="shared" si="1"/>
        <v>5728000</v>
      </c>
      <c r="C157" s="5" t="str">
        <f t="shared" si="8"/>
        <v>227.30%</v>
      </c>
      <c r="D157" t="str">
        <f t="shared" si="2"/>
        <v>1.44</v>
      </c>
      <c r="E157" t="str">
        <f t="shared" si="3"/>
        <v>9565760</v>
      </c>
      <c r="G157" t="str">
        <f t="shared" si="4"/>
        <v>1.59</v>
      </c>
      <c r="H157" t="str">
        <f t="shared" si="5"/>
        <v>9966720</v>
      </c>
      <c r="J157" t="str">
        <f t="shared" si="6"/>
        <v>si</v>
      </c>
      <c r="K157" t="str">
        <f t="shared" si="7"/>
        <v>1.74</v>
      </c>
    </row>
    <row r="158" ht="15.75" customHeight="1">
      <c r="B158" t="str">
        <f t="shared" si="1"/>
        <v>5753200</v>
      </c>
      <c r="C158" s="5" t="str">
        <f t="shared" si="8"/>
        <v>228.30%</v>
      </c>
      <c r="D158" t="str">
        <f t="shared" si="2"/>
        <v>1.44</v>
      </c>
      <c r="E158" t="str">
        <f t="shared" si="3"/>
        <v>9607844</v>
      </c>
      <c r="G158" t="str">
        <f t="shared" si="4"/>
        <v>1.59</v>
      </c>
      <c r="H158" t="str">
        <f t="shared" si="5"/>
        <v>10010568</v>
      </c>
      <c r="J158" t="str">
        <f t="shared" si="6"/>
        <v>si</v>
      </c>
      <c r="K158" t="str">
        <f t="shared" si="7"/>
        <v>1.74</v>
      </c>
    </row>
    <row r="159" ht="15.75" customHeight="1">
      <c r="B159" t="str">
        <f t="shared" si="1"/>
        <v>5778400</v>
      </c>
      <c r="C159" s="5" t="str">
        <f t="shared" si="8"/>
        <v>229.30%</v>
      </c>
      <c r="D159" t="str">
        <f t="shared" si="2"/>
        <v>1.44</v>
      </c>
      <c r="E159" t="str">
        <f t="shared" si="3"/>
        <v>9649928</v>
      </c>
      <c r="G159" t="str">
        <f t="shared" si="4"/>
        <v>1.59</v>
      </c>
      <c r="H159" t="str">
        <f t="shared" si="5"/>
        <v>10054416</v>
      </c>
      <c r="J159" t="str">
        <f t="shared" si="6"/>
        <v>si</v>
      </c>
      <c r="K159" t="str">
        <f t="shared" si="7"/>
        <v>1.74</v>
      </c>
    </row>
    <row r="160" ht="15.75" customHeight="1">
      <c r="B160" t="str">
        <f t="shared" si="1"/>
        <v>5803600</v>
      </c>
      <c r="C160" s="5" t="str">
        <f t="shared" si="8"/>
        <v>230.30%</v>
      </c>
      <c r="D160" t="str">
        <f t="shared" si="2"/>
        <v>1.44</v>
      </c>
      <c r="E160" t="str">
        <f t="shared" si="3"/>
        <v>9692012</v>
      </c>
      <c r="G160" t="str">
        <f t="shared" si="4"/>
        <v>1.59</v>
      </c>
      <c r="H160" t="str">
        <f t="shared" si="5"/>
        <v>10098264</v>
      </c>
      <c r="J160" t="str">
        <f t="shared" si="6"/>
        <v>si</v>
      </c>
      <c r="K160" t="str">
        <f t="shared" si="7"/>
        <v>1.74</v>
      </c>
    </row>
    <row r="161" ht="15.75" customHeight="1">
      <c r="B161" t="str">
        <f t="shared" si="1"/>
        <v>5828800</v>
      </c>
      <c r="C161" s="5" t="str">
        <f t="shared" si="8"/>
        <v>231.30%</v>
      </c>
      <c r="D161" t="str">
        <f t="shared" si="2"/>
        <v>1.44</v>
      </c>
      <c r="E161" t="str">
        <f t="shared" si="3"/>
        <v>9734096</v>
      </c>
      <c r="G161" t="str">
        <f t="shared" si="4"/>
        <v>1.59</v>
      </c>
      <c r="H161" t="str">
        <f t="shared" si="5"/>
        <v>10142112</v>
      </c>
      <c r="J161" t="str">
        <f t="shared" si="6"/>
        <v>si</v>
      </c>
      <c r="K161" t="str">
        <f t="shared" si="7"/>
        <v>1.74</v>
      </c>
    </row>
    <row r="162" ht="15.75" customHeight="1">
      <c r="B162" t="str">
        <f t="shared" si="1"/>
        <v>5854000</v>
      </c>
      <c r="C162" s="5" t="str">
        <f t="shared" si="8"/>
        <v>232.30%</v>
      </c>
      <c r="D162" t="str">
        <f t="shared" si="2"/>
        <v>1.44</v>
      </c>
      <c r="E162" t="str">
        <f t="shared" si="3"/>
        <v>9776180</v>
      </c>
      <c r="G162" t="str">
        <f t="shared" si="4"/>
        <v>1.59</v>
      </c>
      <c r="H162" t="str">
        <f t="shared" si="5"/>
        <v>10185960</v>
      </c>
      <c r="J162" t="str">
        <f t="shared" si="6"/>
        <v>si</v>
      </c>
      <c r="K162" t="str">
        <f t="shared" si="7"/>
        <v>1.74</v>
      </c>
    </row>
    <row r="163" ht="15.75" customHeight="1">
      <c r="B163" t="str">
        <f t="shared" si="1"/>
        <v>5879200</v>
      </c>
      <c r="C163" s="5" t="str">
        <f t="shared" si="8"/>
        <v>233.30%</v>
      </c>
      <c r="D163" t="str">
        <f t="shared" si="2"/>
        <v>1.44</v>
      </c>
      <c r="E163" t="str">
        <f t="shared" si="3"/>
        <v>9818264</v>
      </c>
      <c r="G163" t="str">
        <f t="shared" si="4"/>
        <v>1.59</v>
      </c>
      <c r="H163" t="str">
        <f t="shared" si="5"/>
        <v>10229808</v>
      </c>
      <c r="J163" t="str">
        <f t="shared" si="6"/>
        <v>si</v>
      </c>
      <c r="K163" t="str">
        <f t="shared" si="7"/>
        <v>1.74</v>
      </c>
    </row>
    <row r="164" ht="15.75" customHeight="1">
      <c r="B164" t="str">
        <f t="shared" si="1"/>
        <v>5904400</v>
      </c>
      <c r="C164" s="5" t="str">
        <f t="shared" si="8"/>
        <v>234.30%</v>
      </c>
      <c r="D164" t="str">
        <f t="shared" si="2"/>
        <v>1.44</v>
      </c>
      <c r="E164" t="str">
        <f t="shared" si="3"/>
        <v>9860348</v>
      </c>
      <c r="G164" t="str">
        <f t="shared" si="4"/>
        <v>1.59</v>
      </c>
      <c r="H164" t="str">
        <f t="shared" si="5"/>
        <v>10273656</v>
      </c>
      <c r="J164" t="str">
        <f t="shared" si="6"/>
        <v>si</v>
      </c>
      <c r="K164" t="str">
        <f t="shared" si="7"/>
        <v>1.74</v>
      </c>
    </row>
    <row r="165" ht="15.75" customHeight="1">
      <c r="B165" t="str">
        <f t="shared" si="1"/>
        <v>5929600</v>
      </c>
      <c r="C165" s="5" t="str">
        <f t="shared" si="8"/>
        <v>235.30%</v>
      </c>
      <c r="D165" t="str">
        <f t="shared" si="2"/>
        <v>1.44</v>
      </c>
      <c r="E165" t="str">
        <f t="shared" si="3"/>
        <v>9902432</v>
      </c>
      <c r="G165" t="str">
        <f t="shared" si="4"/>
        <v>1.59</v>
      </c>
      <c r="H165" t="str">
        <f t="shared" si="5"/>
        <v>10317504</v>
      </c>
      <c r="J165" t="str">
        <f t="shared" si="6"/>
        <v>si</v>
      </c>
      <c r="K165" t="str">
        <f t="shared" si="7"/>
        <v>1.74</v>
      </c>
    </row>
    <row r="166" ht="15.75" customHeight="1">
      <c r="B166" t="str">
        <f t="shared" si="1"/>
        <v>5954800</v>
      </c>
      <c r="C166" s="5" t="str">
        <f t="shared" si="8"/>
        <v>236.30%</v>
      </c>
      <c r="D166" t="str">
        <f t="shared" si="2"/>
        <v>1.44</v>
      </c>
      <c r="E166" t="str">
        <f t="shared" si="3"/>
        <v>9944516</v>
      </c>
      <c r="G166" t="str">
        <f t="shared" si="4"/>
        <v>1.59</v>
      </c>
      <c r="H166" t="str">
        <f t="shared" si="5"/>
        <v>10361352</v>
      </c>
      <c r="J166" t="str">
        <f t="shared" si="6"/>
        <v>si</v>
      </c>
      <c r="K166" t="str">
        <f t="shared" si="7"/>
        <v>1.74</v>
      </c>
    </row>
    <row r="167" ht="15.75" customHeight="1">
      <c r="B167" t="str">
        <f t="shared" si="1"/>
        <v>5980000</v>
      </c>
      <c r="C167" s="5" t="str">
        <f t="shared" si="8"/>
        <v>237.30%</v>
      </c>
      <c r="D167" t="str">
        <f t="shared" si="2"/>
        <v>1.44</v>
      </c>
      <c r="E167" t="str">
        <f t="shared" si="3"/>
        <v>9986600</v>
      </c>
      <c r="G167" t="str">
        <f t="shared" si="4"/>
        <v>1.59</v>
      </c>
      <c r="H167" t="str">
        <f t="shared" si="5"/>
        <v>10405200</v>
      </c>
      <c r="J167" t="str">
        <f t="shared" si="6"/>
        <v>si</v>
      </c>
      <c r="K167" t="str">
        <f t="shared" si="7"/>
        <v>1.74</v>
      </c>
    </row>
    <row r="168" ht="15.75" customHeight="1">
      <c r="B168" t="str">
        <f t="shared" si="1"/>
        <v>6005200</v>
      </c>
      <c r="C168" s="5" t="str">
        <f t="shared" si="8"/>
        <v>238.30%</v>
      </c>
      <c r="D168" t="str">
        <f t="shared" si="2"/>
        <v>1.44</v>
      </c>
      <c r="E168" t="str">
        <f t="shared" si="3"/>
        <v>10028684</v>
      </c>
      <c r="G168" t="str">
        <f t="shared" si="4"/>
        <v>1.59</v>
      </c>
      <c r="H168" t="str">
        <f t="shared" si="5"/>
        <v>10449048</v>
      </c>
      <c r="J168" t="str">
        <f t="shared" si="6"/>
        <v>si</v>
      </c>
      <c r="K168" t="str">
        <f t="shared" si="7"/>
        <v>1.74</v>
      </c>
    </row>
    <row r="169" ht="15.75" customHeight="1">
      <c r="B169" t="str">
        <f t="shared" si="1"/>
        <v>6030400</v>
      </c>
      <c r="C169" s="5" t="str">
        <f t="shared" si="8"/>
        <v>239.30%</v>
      </c>
      <c r="D169" t="str">
        <f t="shared" si="2"/>
        <v>1.44</v>
      </c>
      <c r="E169" t="str">
        <f t="shared" si="3"/>
        <v>10070768</v>
      </c>
      <c r="G169" t="str">
        <f t="shared" si="4"/>
        <v>1.59</v>
      </c>
      <c r="H169" t="str">
        <f t="shared" si="5"/>
        <v>10492896</v>
      </c>
      <c r="J169" t="str">
        <f t="shared" si="6"/>
        <v>si</v>
      </c>
      <c r="K169" t="str">
        <f t="shared" si="7"/>
        <v>1.74</v>
      </c>
    </row>
    <row r="170" ht="15.75" customHeight="1">
      <c r="B170" t="str">
        <f t="shared" si="1"/>
        <v>6055600</v>
      </c>
      <c r="C170" s="5" t="str">
        <f t="shared" si="8"/>
        <v>240.30%</v>
      </c>
      <c r="D170" t="str">
        <f t="shared" si="2"/>
        <v>1.44</v>
      </c>
      <c r="E170" t="str">
        <f t="shared" si="3"/>
        <v>10112852</v>
      </c>
      <c r="G170" t="str">
        <f t="shared" si="4"/>
        <v>1.59</v>
      </c>
      <c r="H170" t="str">
        <f t="shared" si="5"/>
        <v>10536744</v>
      </c>
      <c r="J170" t="str">
        <f t="shared" si="6"/>
        <v>si</v>
      </c>
      <c r="K170" t="str">
        <f t="shared" si="7"/>
        <v>1.74</v>
      </c>
    </row>
    <row r="171" ht="15.75" customHeight="1">
      <c r="B171" t="str">
        <f t="shared" si="1"/>
        <v>6080800</v>
      </c>
      <c r="C171" s="5" t="str">
        <f t="shared" si="8"/>
        <v>241.30%</v>
      </c>
      <c r="D171" t="str">
        <f t="shared" si="2"/>
        <v>1.44</v>
      </c>
      <c r="E171" t="str">
        <f t="shared" si="3"/>
        <v>10154936</v>
      </c>
      <c r="G171" t="str">
        <f t="shared" si="4"/>
        <v>1.59</v>
      </c>
      <c r="H171" t="str">
        <f t="shared" si="5"/>
        <v>10580592</v>
      </c>
      <c r="J171" t="str">
        <f t="shared" si="6"/>
        <v>si</v>
      </c>
      <c r="K171" t="str">
        <f t="shared" si="7"/>
        <v>1.74</v>
      </c>
    </row>
    <row r="172" ht="15.75" customHeight="1">
      <c r="B172" t="str">
        <f t="shared" si="1"/>
        <v>6106000</v>
      </c>
      <c r="C172" s="5" t="str">
        <f t="shared" si="8"/>
        <v>242.30%</v>
      </c>
      <c r="D172" t="str">
        <f t="shared" si="2"/>
        <v>1.44</v>
      </c>
      <c r="E172" t="str">
        <f t="shared" si="3"/>
        <v>10197020</v>
      </c>
      <c r="G172" t="str">
        <f t="shared" si="4"/>
        <v>1.59</v>
      </c>
      <c r="H172" t="str">
        <f t="shared" si="5"/>
        <v>10624440</v>
      </c>
      <c r="J172" t="str">
        <f t="shared" si="6"/>
        <v>si</v>
      </c>
      <c r="K172" t="str">
        <f t="shared" si="7"/>
        <v>1.74</v>
      </c>
    </row>
    <row r="173" ht="15.75" customHeight="1">
      <c r="B173" t="str">
        <f t="shared" si="1"/>
        <v>6131200</v>
      </c>
      <c r="C173" s="5" t="str">
        <f t="shared" si="8"/>
        <v>243.30%</v>
      </c>
      <c r="D173" t="str">
        <f t="shared" si="2"/>
        <v>1.44</v>
      </c>
      <c r="E173" t="str">
        <f t="shared" si="3"/>
        <v>10239104</v>
      </c>
      <c r="G173" t="str">
        <f t="shared" si="4"/>
        <v>1.59</v>
      </c>
      <c r="H173" t="str">
        <f t="shared" si="5"/>
        <v>10668288</v>
      </c>
      <c r="J173" t="str">
        <f t="shared" si="6"/>
        <v>si</v>
      </c>
      <c r="K173" t="str">
        <f t="shared" si="7"/>
        <v>1.74</v>
      </c>
    </row>
    <row r="174" ht="15.75" customHeight="1">
      <c r="B174" t="str">
        <f t="shared" si="1"/>
        <v>6156400</v>
      </c>
      <c r="C174" s="5" t="str">
        <f t="shared" si="8"/>
        <v>244.30%</v>
      </c>
      <c r="D174" t="str">
        <f t="shared" si="2"/>
        <v>1.44</v>
      </c>
      <c r="E174" t="str">
        <f t="shared" si="3"/>
        <v>10281188</v>
      </c>
      <c r="G174" t="str">
        <f t="shared" si="4"/>
        <v>1.59</v>
      </c>
      <c r="H174" t="str">
        <f t="shared" si="5"/>
        <v>10712136</v>
      </c>
      <c r="J174" t="str">
        <f t="shared" si="6"/>
        <v>si</v>
      </c>
      <c r="K174" t="str">
        <f t="shared" si="7"/>
        <v>1.74</v>
      </c>
    </row>
    <row r="175" ht="15.75" customHeight="1">
      <c r="B175" t="str">
        <f t="shared" si="1"/>
        <v>6181600</v>
      </c>
      <c r="C175" s="5" t="str">
        <f t="shared" si="8"/>
        <v>245.30%</v>
      </c>
      <c r="D175" t="str">
        <f t="shared" si="2"/>
        <v>1.44</v>
      </c>
      <c r="E175" t="str">
        <f t="shared" si="3"/>
        <v>10323272</v>
      </c>
      <c r="G175" t="str">
        <f t="shared" si="4"/>
        <v>1.59</v>
      </c>
      <c r="H175" t="str">
        <f t="shared" si="5"/>
        <v>10755984</v>
      </c>
      <c r="J175" t="str">
        <f t="shared" si="6"/>
        <v>si</v>
      </c>
      <c r="K175" t="str">
        <f t="shared" si="7"/>
        <v>1.74</v>
      </c>
    </row>
    <row r="176" ht="15.75" customHeight="1">
      <c r="B176" t="str">
        <f t="shared" si="1"/>
        <v>6206800</v>
      </c>
      <c r="C176" s="5" t="str">
        <f t="shared" si="8"/>
        <v>246.30%</v>
      </c>
      <c r="D176" t="str">
        <f t="shared" si="2"/>
        <v>1.44</v>
      </c>
      <c r="E176" t="str">
        <f t="shared" si="3"/>
        <v>10365356</v>
      </c>
      <c r="G176" t="str">
        <f t="shared" si="4"/>
        <v>1.59</v>
      </c>
      <c r="H176" t="str">
        <f t="shared" si="5"/>
        <v>10799832</v>
      </c>
      <c r="J176" t="str">
        <f t="shared" si="6"/>
        <v>si</v>
      </c>
      <c r="K176" t="str">
        <f t="shared" si="7"/>
        <v>1.74</v>
      </c>
    </row>
    <row r="177" ht="15.75" customHeight="1">
      <c r="B177" t="str">
        <f t="shared" si="1"/>
        <v>6232000</v>
      </c>
      <c r="C177" s="5" t="str">
        <f t="shared" si="8"/>
        <v>247.30%</v>
      </c>
      <c r="D177" t="str">
        <f t="shared" si="2"/>
        <v>1.44</v>
      </c>
      <c r="E177" t="str">
        <f t="shared" si="3"/>
        <v>10407440</v>
      </c>
      <c r="G177" t="str">
        <f t="shared" si="4"/>
        <v>1.59</v>
      </c>
      <c r="H177" t="str">
        <f t="shared" si="5"/>
        <v>10843680</v>
      </c>
      <c r="J177" t="str">
        <f t="shared" si="6"/>
        <v>si</v>
      </c>
      <c r="K177" t="str">
        <f t="shared" si="7"/>
        <v>1.74</v>
      </c>
    </row>
    <row r="178" ht="15.75" customHeight="1">
      <c r="B178" t="str">
        <f t="shared" si="1"/>
        <v>6257200</v>
      </c>
      <c r="C178" s="5" t="str">
        <f t="shared" si="8"/>
        <v>248.30%</v>
      </c>
      <c r="D178" t="str">
        <f t="shared" si="2"/>
        <v>1.44</v>
      </c>
      <c r="E178" t="str">
        <f t="shared" si="3"/>
        <v>10449524</v>
      </c>
      <c r="G178" t="str">
        <f t="shared" si="4"/>
        <v>1.59</v>
      </c>
      <c r="H178" t="str">
        <f t="shared" si="5"/>
        <v>10887528</v>
      </c>
      <c r="J178" t="str">
        <f t="shared" si="6"/>
        <v>si</v>
      </c>
      <c r="K178" t="str">
        <f t="shared" si="7"/>
        <v>1.74</v>
      </c>
    </row>
    <row r="179" ht="15.75" customHeight="1">
      <c r="B179" t="str">
        <f t="shared" si="1"/>
        <v>6282400</v>
      </c>
      <c r="C179" s="5" t="str">
        <f t="shared" si="8"/>
        <v>249.30%</v>
      </c>
      <c r="D179" t="str">
        <f t="shared" si="2"/>
        <v>1.44</v>
      </c>
      <c r="E179" t="str">
        <f t="shared" si="3"/>
        <v>10491608</v>
      </c>
      <c r="G179" t="str">
        <f t="shared" si="4"/>
        <v>1.59</v>
      </c>
      <c r="H179" t="str">
        <f t="shared" si="5"/>
        <v>10931376</v>
      </c>
      <c r="J179" t="str">
        <f t="shared" si="6"/>
        <v>si</v>
      </c>
      <c r="K179" t="str">
        <f t="shared" si="7"/>
        <v>1.74</v>
      </c>
    </row>
    <row r="180" ht="15.75" customHeight="1">
      <c r="B180" t="str">
        <f t="shared" si="1"/>
        <v>6307600</v>
      </c>
      <c r="C180" s="5" t="str">
        <f t="shared" si="8"/>
        <v>250.30%</v>
      </c>
      <c r="D180" t="str">
        <f t="shared" si="2"/>
        <v>1.44</v>
      </c>
      <c r="E180" t="str">
        <f t="shared" si="3"/>
        <v>10533692</v>
      </c>
      <c r="G180" t="str">
        <f t="shared" si="4"/>
        <v>1.59</v>
      </c>
      <c r="H180" t="str">
        <f t="shared" si="5"/>
        <v>10975224</v>
      </c>
      <c r="J180" t="str">
        <f t="shared" si="6"/>
        <v>si</v>
      </c>
      <c r="K180" t="str">
        <f t="shared" si="7"/>
        <v>1.74</v>
      </c>
    </row>
    <row r="181" ht="15.75" customHeight="1">
      <c r="B181" t="str">
        <f t="shared" si="1"/>
        <v>6332800</v>
      </c>
      <c r="C181" s="5" t="str">
        <f t="shared" si="8"/>
        <v>251.30%</v>
      </c>
      <c r="D181" t="str">
        <f t="shared" si="2"/>
        <v>1.44</v>
      </c>
      <c r="E181" t="str">
        <f t="shared" si="3"/>
        <v>10575776</v>
      </c>
      <c r="G181" t="str">
        <f t="shared" si="4"/>
        <v>1.59</v>
      </c>
      <c r="H181" t="str">
        <f t="shared" si="5"/>
        <v>11019072</v>
      </c>
      <c r="J181" t="str">
        <f t="shared" si="6"/>
        <v>si</v>
      </c>
      <c r="K181" t="str">
        <f t="shared" si="7"/>
        <v>1.74</v>
      </c>
    </row>
    <row r="182" ht="15.75" customHeight="1">
      <c r="B182" t="str">
        <f t="shared" si="1"/>
        <v>6358000</v>
      </c>
      <c r="C182" s="5" t="str">
        <f t="shared" si="8"/>
        <v>252.30%</v>
      </c>
      <c r="D182" t="str">
        <f t="shared" si="2"/>
        <v>1.44</v>
      </c>
      <c r="E182" t="str">
        <f t="shared" si="3"/>
        <v>10617860</v>
      </c>
      <c r="G182" t="str">
        <f t="shared" si="4"/>
        <v>1.59</v>
      </c>
      <c r="H182" t="str">
        <f t="shared" si="5"/>
        <v>11062920</v>
      </c>
      <c r="J182" t="str">
        <f t="shared" si="6"/>
        <v>si</v>
      </c>
      <c r="K182" t="str">
        <f t="shared" si="7"/>
        <v>1.74</v>
      </c>
    </row>
    <row r="183" ht="15.75" customHeight="1">
      <c r="B183" t="str">
        <f t="shared" si="1"/>
        <v>6383200</v>
      </c>
      <c r="C183" s="5" t="str">
        <f t="shared" si="8"/>
        <v>253.30%</v>
      </c>
      <c r="D183" t="str">
        <f t="shared" si="2"/>
        <v>1.44</v>
      </c>
      <c r="E183" t="str">
        <f t="shared" si="3"/>
        <v>10659944</v>
      </c>
      <c r="G183" t="str">
        <f t="shared" si="4"/>
        <v>1.59</v>
      </c>
      <c r="H183" t="str">
        <f t="shared" si="5"/>
        <v>11106768</v>
      </c>
      <c r="J183" t="str">
        <f t="shared" si="6"/>
        <v>si</v>
      </c>
      <c r="K183" t="str">
        <f t="shared" si="7"/>
        <v>1.74</v>
      </c>
    </row>
    <row r="184" ht="15.75" customHeight="1">
      <c r="B184" t="str">
        <f t="shared" si="1"/>
        <v>6408400</v>
      </c>
      <c r="C184" s="5" t="str">
        <f t="shared" si="8"/>
        <v>254.30%</v>
      </c>
      <c r="D184" t="str">
        <f t="shared" si="2"/>
        <v>1.44</v>
      </c>
      <c r="E184" t="str">
        <f t="shared" si="3"/>
        <v>10702028</v>
      </c>
      <c r="G184" t="str">
        <f t="shared" si="4"/>
        <v>1.59</v>
      </c>
      <c r="H184" t="str">
        <f t="shared" si="5"/>
        <v>11150616</v>
      </c>
      <c r="J184" t="str">
        <f t="shared" si="6"/>
        <v>si</v>
      </c>
      <c r="K184" t="str">
        <f t="shared" si="7"/>
        <v>1.74</v>
      </c>
    </row>
    <row r="185" ht="15.75" customHeight="1">
      <c r="B185" t="str">
        <f t="shared" si="1"/>
        <v>6433600</v>
      </c>
      <c r="C185" s="5" t="str">
        <f t="shared" si="8"/>
        <v>255.30%</v>
      </c>
      <c r="D185" t="str">
        <f t="shared" si="2"/>
        <v>1.44</v>
      </c>
      <c r="E185" t="str">
        <f t="shared" si="3"/>
        <v>10744112</v>
      </c>
      <c r="G185" t="str">
        <f t="shared" si="4"/>
        <v>1.59</v>
      </c>
      <c r="H185" t="str">
        <f t="shared" si="5"/>
        <v>11194464</v>
      </c>
      <c r="J185" t="str">
        <f t="shared" si="6"/>
        <v>si</v>
      </c>
      <c r="K185" t="str">
        <f t="shared" si="7"/>
        <v>1.74</v>
      </c>
    </row>
    <row r="186" ht="15.75" customHeight="1">
      <c r="B186" t="str">
        <f t="shared" si="1"/>
        <v>6458800</v>
      </c>
      <c r="C186" s="5" t="str">
        <f t="shared" si="8"/>
        <v>256.30%</v>
      </c>
      <c r="D186" t="str">
        <f t="shared" si="2"/>
        <v>1.44</v>
      </c>
      <c r="E186" t="str">
        <f t="shared" si="3"/>
        <v>10786196</v>
      </c>
      <c r="G186" t="str">
        <f t="shared" si="4"/>
        <v>1.59</v>
      </c>
      <c r="H186" t="str">
        <f t="shared" si="5"/>
        <v>11238312</v>
      </c>
      <c r="J186" t="str">
        <f t="shared" si="6"/>
        <v>si</v>
      </c>
      <c r="K186" t="str">
        <f t="shared" si="7"/>
        <v>1.74</v>
      </c>
    </row>
    <row r="187" ht="15.75" customHeight="1">
      <c r="B187" t="str">
        <f t="shared" si="1"/>
        <v>6484000</v>
      </c>
      <c r="C187" s="5" t="str">
        <f t="shared" si="8"/>
        <v>257.30%</v>
      </c>
      <c r="D187" t="str">
        <f t="shared" si="2"/>
        <v>1.44</v>
      </c>
      <c r="E187" t="str">
        <f t="shared" si="3"/>
        <v>10828280</v>
      </c>
      <c r="G187" t="str">
        <f t="shared" si="4"/>
        <v>1.59</v>
      </c>
      <c r="H187" t="str">
        <f t="shared" si="5"/>
        <v>11282160</v>
      </c>
      <c r="J187" t="str">
        <f t="shared" si="6"/>
        <v>si</v>
      </c>
      <c r="K187" t="str">
        <f t="shared" si="7"/>
        <v>1.74</v>
      </c>
    </row>
    <row r="188" ht="15.75" customHeight="1">
      <c r="B188" t="str">
        <f t="shared" si="1"/>
        <v>6509200</v>
      </c>
      <c r="C188" s="5" t="str">
        <f t="shared" si="8"/>
        <v>258.30%</v>
      </c>
      <c r="D188" t="str">
        <f t="shared" si="2"/>
        <v>1.44</v>
      </c>
      <c r="E188" t="str">
        <f t="shared" si="3"/>
        <v>10870364</v>
      </c>
      <c r="G188" t="str">
        <f t="shared" si="4"/>
        <v>1.59</v>
      </c>
      <c r="H188" t="str">
        <f t="shared" si="5"/>
        <v>11326008</v>
      </c>
      <c r="J188" t="str">
        <f t="shared" si="6"/>
        <v>si</v>
      </c>
      <c r="K188" t="str">
        <f t="shared" si="7"/>
        <v>1.74</v>
      </c>
    </row>
    <row r="189" ht="15.75" customHeight="1">
      <c r="B189" t="str">
        <f t="shared" si="1"/>
        <v>6534400</v>
      </c>
      <c r="C189" s="5" t="str">
        <f t="shared" si="8"/>
        <v>259.30%</v>
      </c>
      <c r="D189" t="str">
        <f t="shared" si="2"/>
        <v>1.44</v>
      </c>
      <c r="E189" t="str">
        <f t="shared" si="3"/>
        <v>10912448</v>
      </c>
      <c r="G189" t="str">
        <f t="shared" si="4"/>
        <v>1.59</v>
      </c>
      <c r="H189" t="str">
        <f t="shared" si="5"/>
        <v>11369856</v>
      </c>
      <c r="J189" t="str">
        <f t="shared" si="6"/>
        <v>si</v>
      </c>
      <c r="K189" t="str">
        <f t="shared" si="7"/>
        <v>1.74</v>
      </c>
    </row>
    <row r="190" ht="15.75" customHeight="1">
      <c r="B190" t="str">
        <f t="shared" si="1"/>
        <v>6559600</v>
      </c>
      <c r="C190" s="5" t="str">
        <f t="shared" si="8"/>
        <v>260.30%</v>
      </c>
      <c r="D190" t="str">
        <f t="shared" si="2"/>
        <v>1.44</v>
      </c>
      <c r="E190" t="str">
        <f t="shared" si="3"/>
        <v>10954532</v>
      </c>
      <c r="G190" t="str">
        <f t="shared" si="4"/>
        <v>1.59</v>
      </c>
      <c r="H190" t="str">
        <f t="shared" si="5"/>
        <v>11413704</v>
      </c>
      <c r="J190" t="str">
        <f t="shared" si="6"/>
        <v>si</v>
      </c>
      <c r="K190" t="str">
        <f t="shared" si="7"/>
        <v>1.74</v>
      </c>
    </row>
    <row r="191" ht="15.75" customHeight="1">
      <c r="B191" t="str">
        <f t="shared" si="1"/>
        <v>6584800</v>
      </c>
      <c r="C191" s="5" t="str">
        <f t="shared" si="8"/>
        <v>261.30%</v>
      </c>
      <c r="D191" t="str">
        <f t="shared" si="2"/>
        <v>1.44</v>
      </c>
      <c r="E191" t="str">
        <f t="shared" si="3"/>
        <v>10996616</v>
      </c>
      <c r="G191" t="str">
        <f t="shared" si="4"/>
        <v>1.59</v>
      </c>
      <c r="H191" t="str">
        <f t="shared" si="5"/>
        <v>11457552</v>
      </c>
      <c r="J191" t="str">
        <f t="shared" si="6"/>
        <v>si</v>
      </c>
      <c r="K191" t="str">
        <f t="shared" si="7"/>
        <v>1.74</v>
      </c>
    </row>
    <row r="192" ht="15.75" customHeight="1">
      <c r="B192" t="str">
        <f t="shared" si="1"/>
        <v>6610000</v>
      </c>
      <c r="C192" s="5" t="str">
        <f t="shared" si="8"/>
        <v>262.30%</v>
      </c>
      <c r="D192" t="str">
        <f t="shared" si="2"/>
        <v>1.44</v>
      </c>
      <c r="E192" t="str">
        <f t="shared" si="3"/>
        <v>11038700</v>
      </c>
      <c r="G192" t="str">
        <f t="shared" si="4"/>
        <v>1.59</v>
      </c>
      <c r="H192" t="str">
        <f t="shared" si="5"/>
        <v>11501400</v>
      </c>
      <c r="J192" t="str">
        <f t="shared" si="6"/>
        <v>si</v>
      </c>
      <c r="K192" t="str">
        <f t="shared" si="7"/>
        <v>1.74</v>
      </c>
    </row>
    <row r="193" ht="15.75" customHeight="1">
      <c r="B193" t="str">
        <f t="shared" si="1"/>
        <v>6635200</v>
      </c>
      <c r="C193" s="5" t="str">
        <f t="shared" si="8"/>
        <v>263.30%</v>
      </c>
      <c r="D193" t="str">
        <f t="shared" si="2"/>
        <v>1.44</v>
      </c>
      <c r="E193" t="str">
        <f t="shared" si="3"/>
        <v>11080784</v>
      </c>
      <c r="G193" t="str">
        <f t="shared" si="4"/>
        <v>1.59</v>
      </c>
      <c r="H193" t="str">
        <f t="shared" si="5"/>
        <v>11545248</v>
      </c>
      <c r="J193" t="str">
        <f t="shared" si="6"/>
        <v>si</v>
      </c>
      <c r="K193" t="str">
        <f t="shared" si="7"/>
        <v>1.74</v>
      </c>
    </row>
    <row r="194" ht="15.75" customHeight="1">
      <c r="B194" t="str">
        <f t="shared" si="1"/>
        <v>6660400</v>
      </c>
      <c r="C194" s="5" t="str">
        <f t="shared" si="8"/>
        <v>264.30%</v>
      </c>
      <c r="D194" t="str">
        <f t="shared" si="2"/>
        <v>1.44</v>
      </c>
      <c r="E194" t="str">
        <f t="shared" si="3"/>
        <v>11122868</v>
      </c>
      <c r="G194" t="str">
        <f t="shared" si="4"/>
        <v>1.59</v>
      </c>
      <c r="H194" t="str">
        <f t="shared" si="5"/>
        <v>11589096</v>
      </c>
      <c r="J194" t="str">
        <f t="shared" si="6"/>
        <v>si</v>
      </c>
      <c r="K194" t="str">
        <f t="shared" si="7"/>
        <v>1.74</v>
      </c>
    </row>
    <row r="195" ht="15.75" customHeight="1">
      <c r="B195" t="str">
        <f t="shared" si="1"/>
        <v>6685600</v>
      </c>
      <c r="C195" s="5" t="str">
        <f t="shared" si="8"/>
        <v>265.30%</v>
      </c>
      <c r="D195" t="str">
        <f t="shared" si="2"/>
        <v>1.44</v>
      </c>
      <c r="E195" t="str">
        <f t="shared" si="3"/>
        <v>11164952</v>
      </c>
      <c r="G195" t="str">
        <f t="shared" si="4"/>
        <v>1.59</v>
      </c>
      <c r="H195" t="str">
        <f t="shared" si="5"/>
        <v>11632944</v>
      </c>
      <c r="J195" t="str">
        <f t="shared" si="6"/>
        <v>si</v>
      </c>
      <c r="K195" t="str">
        <f t="shared" si="7"/>
        <v>1.74</v>
      </c>
    </row>
    <row r="196" ht="15.75" customHeight="1">
      <c r="B196" t="str">
        <f t="shared" si="1"/>
        <v>6710800</v>
      </c>
      <c r="C196" s="5" t="str">
        <f t="shared" si="8"/>
        <v>266.30%</v>
      </c>
      <c r="D196" t="str">
        <f t="shared" si="2"/>
        <v>1.44</v>
      </c>
      <c r="E196" t="str">
        <f t="shared" si="3"/>
        <v>11207036</v>
      </c>
      <c r="G196" t="str">
        <f t="shared" si="4"/>
        <v>1.59</v>
      </c>
      <c r="H196" t="str">
        <f t="shared" si="5"/>
        <v>11676792</v>
      </c>
      <c r="J196" t="str">
        <f t="shared" si="6"/>
        <v>si</v>
      </c>
      <c r="K196" t="str">
        <f t="shared" si="7"/>
        <v>1.74</v>
      </c>
    </row>
    <row r="197" ht="15.75" customHeight="1">
      <c r="B197" t="str">
        <f t="shared" si="1"/>
        <v>6736000</v>
      </c>
      <c r="C197" s="5" t="str">
        <f t="shared" si="8"/>
        <v>267.30%</v>
      </c>
      <c r="D197" t="str">
        <f t="shared" si="2"/>
        <v>1.44</v>
      </c>
      <c r="E197" t="str">
        <f t="shared" si="3"/>
        <v>11249120</v>
      </c>
      <c r="G197" t="str">
        <f t="shared" si="4"/>
        <v>1.59</v>
      </c>
      <c r="H197" t="str">
        <f t="shared" si="5"/>
        <v>11720640</v>
      </c>
      <c r="J197" t="str">
        <f t="shared" si="6"/>
        <v>si</v>
      </c>
      <c r="K197" t="str">
        <f t="shared" si="7"/>
        <v>1.74</v>
      </c>
    </row>
    <row r="198" ht="15.75" customHeight="1">
      <c r="B198" t="str">
        <f t="shared" si="1"/>
        <v>6761200</v>
      </c>
      <c r="C198" s="5" t="str">
        <f t="shared" si="8"/>
        <v>268.30%</v>
      </c>
      <c r="D198" t="str">
        <f t="shared" si="2"/>
        <v>1.44</v>
      </c>
      <c r="E198" t="str">
        <f t="shared" si="3"/>
        <v>11291204</v>
      </c>
      <c r="G198" t="str">
        <f t="shared" si="4"/>
        <v>1.59</v>
      </c>
      <c r="H198" t="str">
        <f t="shared" si="5"/>
        <v>11764488</v>
      </c>
      <c r="J198" t="str">
        <f t="shared" si="6"/>
        <v>si</v>
      </c>
      <c r="K198" t="str">
        <f t="shared" si="7"/>
        <v>1.74</v>
      </c>
    </row>
    <row r="199" ht="15.75" customHeight="1">
      <c r="B199" t="str">
        <f t="shared" si="1"/>
        <v>6786400</v>
      </c>
      <c r="C199" s="5" t="str">
        <f t="shared" si="8"/>
        <v>269.30%</v>
      </c>
      <c r="D199" t="str">
        <f t="shared" si="2"/>
        <v>1.44</v>
      </c>
      <c r="E199" t="str">
        <f t="shared" si="3"/>
        <v>11333288</v>
      </c>
      <c r="G199" t="str">
        <f t="shared" si="4"/>
        <v>1.59</v>
      </c>
      <c r="H199" t="str">
        <f t="shared" si="5"/>
        <v>11808336</v>
      </c>
      <c r="J199" t="str">
        <f t="shared" si="6"/>
        <v>si</v>
      </c>
      <c r="K199" t="str">
        <f t="shared" si="7"/>
        <v>1.74</v>
      </c>
    </row>
    <row r="200" ht="15.75" customHeight="1">
      <c r="B200" t="str">
        <f t="shared" si="1"/>
        <v>6811600</v>
      </c>
      <c r="C200" s="5" t="str">
        <f t="shared" si="8"/>
        <v>270.30%</v>
      </c>
      <c r="D200" t="str">
        <f t="shared" si="2"/>
        <v>1.44</v>
      </c>
      <c r="E200" t="str">
        <f t="shared" si="3"/>
        <v>11375372</v>
      </c>
      <c r="G200" t="str">
        <f t="shared" si="4"/>
        <v>1.59</v>
      </c>
      <c r="H200" t="str">
        <f t="shared" si="5"/>
        <v>11852184</v>
      </c>
      <c r="J200" t="str">
        <f t="shared" si="6"/>
        <v>si</v>
      </c>
      <c r="K200" t="str">
        <f t="shared" si="7"/>
        <v>1.74</v>
      </c>
    </row>
    <row r="201" ht="15.75" customHeight="1">
      <c r="B201" t="str">
        <f t="shared" si="1"/>
        <v>6836800</v>
      </c>
      <c r="C201" s="5" t="str">
        <f t="shared" si="8"/>
        <v>271.30%</v>
      </c>
      <c r="D201" t="str">
        <f t="shared" si="2"/>
        <v>1.44</v>
      </c>
      <c r="E201" t="str">
        <f t="shared" si="3"/>
        <v>11417456</v>
      </c>
      <c r="G201" t="str">
        <f t="shared" si="4"/>
        <v>1.59</v>
      </c>
      <c r="H201" t="str">
        <f t="shared" si="5"/>
        <v>11896032</v>
      </c>
      <c r="J201" t="str">
        <f t="shared" si="6"/>
        <v>si</v>
      </c>
      <c r="K201" t="str">
        <f t="shared" si="7"/>
        <v>1.74</v>
      </c>
    </row>
    <row r="202" ht="15.75" customHeight="1">
      <c r="B202" t="str">
        <f t="shared" si="1"/>
        <v>6862000</v>
      </c>
      <c r="C202" s="5" t="str">
        <f t="shared" si="8"/>
        <v>272.30%</v>
      </c>
      <c r="D202" t="str">
        <f t="shared" si="2"/>
        <v>1.44</v>
      </c>
      <c r="E202" t="str">
        <f t="shared" si="3"/>
        <v>11459540</v>
      </c>
      <c r="G202" t="str">
        <f t="shared" si="4"/>
        <v>1.59</v>
      </c>
      <c r="H202" t="str">
        <f t="shared" si="5"/>
        <v>11939880</v>
      </c>
      <c r="J202" t="str">
        <f t="shared" si="6"/>
        <v>si</v>
      </c>
      <c r="K202" t="str">
        <f t="shared" si="7"/>
        <v>1.74</v>
      </c>
    </row>
    <row r="203" ht="15.75" customHeight="1">
      <c r="B203" t="str">
        <f t="shared" si="1"/>
        <v>6887200</v>
      </c>
      <c r="C203" s="5" t="str">
        <f t="shared" si="8"/>
        <v>273.30%</v>
      </c>
      <c r="D203" t="str">
        <f t="shared" si="2"/>
        <v>1.44</v>
      </c>
      <c r="E203" t="str">
        <f t="shared" si="3"/>
        <v>11501624</v>
      </c>
      <c r="G203" t="str">
        <f t="shared" si="4"/>
        <v>1.59</v>
      </c>
      <c r="H203" t="str">
        <f t="shared" si="5"/>
        <v>11983728</v>
      </c>
      <c r="J203" t="str">
        <f t="shared" si="6"/>
        <v>si</v>
      </c>
      <c r="K203" t="str">
        <f t="shared" si="7"/>
        <v>1.74</v>
      </c>
    </row>
    <row r="204" ht="15.75" customHeight="1">
      <c r="B204" t="str">
        <f t="shared" si="1"/>
        <v>6912400</v>
      </c>
      <c r="C204" s="5" t="str">
        <f t="shared" si="8"/>
        <v>274.30%</v>
      </c>
      <c r="D204" t="str">
        <f t="shared" si="2"/>
        <v>1.44</v>
      </c>
      <c r="E204" t="str">
        <f t="shared" si="3"/>
        <v>11543708</v>
      </c>
      <c r="G204" t="str">
        <f t="shared" si="4"/>
        <v>1.59</v>
      </c>
      <c r="H204" t="str">
        <f t="shared" si="5"/>
        <v>12027576</v>
      </c>
      <c r="J204" t="str">
        <f t="shared" si="6"/>
        <v>si</v>
      </c>
      <c r="K204" t="str">
        <f t="shared" si="7"/>
        <v>1.74</v>
      </c>
    </row>
    <row r="205" ht="15.75" customHeight="1">
      <c r="B205" t="str">
        <f t="shared" si="1"/>
        <v>6937600</v>
      </c>
      <c r="C205" s="5" t="str">
        <f t="shared" si="8"/>
        <v>275.30%</v>
      </c>
      <c r="D205" t="str">
        <f t="shared" si="2"/>
        <v>1.44</v>
      </c>
      <c r="E205" t="str">
        <f t="shared" si="3"/>
        <v>11585792</v>
      </c>
      <c r="G205" t="str">
        <f t="shared" si="4"/>
        <v>1.59</v>
      </c>
      <c r="H205" t="str">
        <f t="shared" si="5"/>
        <v>12071424</v>
      </c>
      <c r="J205" t="str">
        <f t="shared" si="6"/>
        <v>si</v>
      </c>
      <c r="K205" t="str">
        <f t="shared" si="7"/>
        <v>1.74</v>
      </c>
    </row>
    <row r="206" ht="15.75" customHeight="1">
      <c r="B206" t="str">
        <f t="shared" si="1"/>
        <v>6962800</v>
      </c>
      <c r="C206" s="5" t="str">
        <f t="shared" si="8"/>
        <v>276.30%</v>
      </c>
      <c r="D206" t="str">
        <f t="shared" si="2"/>
        <v>1.44</v>
      </c>
      <c r="E206" t="str">
        <f t="shared" si="3"/>
        <v>11627876</v>
      </c>
      <c r="G206" t="str">
        <f t="shared" si="4"/>
        <v>1.59</v>
      </c>
      <c r="H206" t="str">
        <f t="shared" si="5"/>
        <v>12115272</v>
      </c>
      <c r="J206" t="str">
        <f t="shared" si="6"/>
        <v>si</v>
      </c>
      <c r="K206" t="str">
        <f t="shared" si="7"/>
        <v>1.74</v>
      </c>
    </row>
    <row r="207" ht="15.75" customHeight="1">
      <c r="B207" t="str">
        <f t="shared" si="1"/>
        <v>6988000</v>
      </c>
      <c r="C207" s="5" t="str">
        <f t="shared" si="8"/>
        <v>277.30%</v>
      </c>
      <c r="D207" t="str">
        <f t="shared" si="2"/>
        <v>1.44</v>
      </c>
      <c r="E207" t="str">
        <f t="shared" si="3"/>
        <v>11669960</v>
      </c>
      <c r="G207" t="str">
        <f t="shared" si="4"/>
        <v>1.59</v>
      </c>
      <c r="H207" t="str">
        <f t="shared" si="5"/>
        <v>12159120</v>
      </c>
      <c r="J207" t="str">
        <f t="shared" si="6"/>
        <v>si</v>
      </c>
      <c r="K207" t="str">
        <f t="shared" si="7"/>
        <v>1.74</v>
      </c>
    </row>
    <row r="208" ht="15.75" customHeight="1">
      <c r="B208" t="str">
        <f t="shared" si="1"/>
        <v>7013200</v>
      </c>
      <c r="C208" s="5" t="str">
        <f t="shared" si="8"/>
        <v>278.30%</v>
      </c>
      <c r="D208" t="str">
        <f t="shared" si="2"/>
        <v>1.44</v>
      </c>
      <c r="E208" t="str">
        <f t="shared" si="3"/>
        <v>11712044</v>
      </c>
      <c r="G208" t="str">
        <f t="shared" si="4"/>
        <v>1.59</v>
      </c>
      <c r="H208" t="str">
        <f t="shared" si="5"/>
        <v>12202968</v>
      </c>
      <c r="J208" t="str">
        <f t="shared" si="6"/>
        <v>si</v>
      </c>
      <c r="K208" t="str">
        <f t="shared" si="7"/>
        <v>1.74</v>
      </c>
    </row>
    <row r="209" ht="15.75" customHeight="1">
      <c r="B209" t="str">
        <f t="shared" si="1"/>
        <v>7038400</v>
      </c>
      <c r="C209" s="5" t="str">
        <f t="shared" si="8"/>
        <v>279.30%</v>
      </c>
      <c r="D209" t="str">
        <f t="shared" si="2"/>
        <v>1.44</v>
      </c>
      <c r="E209" t="str">
        <f t="shared" si="3"/>
        <v>11754128</v>
      </c>
      <c r="G209" t="str">
        <f t="shared" si="4"/>
        <v>1.59</v>
      </c>
      <c r="H209" t="str">
        <f t="shared" si="5"/>
        <v>12246816</v>
      </c>
      <c r="J209" t="str">
        <f t="shared" si="6"/>
        <v>si</v>
      </c>
      <c r="K209" t="str">
        <f t="shared" si="7"/>
        <v>1.74</v>
      </c>
    </row>
    <row r="210" ht="15.75" customHeight="1">
      <c r="B210" t="str">
        <f t="shared" si="1"/>
        <v>7063600</v>
      </c>
      <c r="C210" s="5" t="str">
        <f t="shared" si="8"/>
        <v>280.30%</v>
      </c>
      <c r="D210" t="str">
        <f t="shared" si="2"/>
        <v>1.44</v>
      </c>
      <c r="E210" t="str">
        <f t="shared" si="3"/>
        <v>11796212</v>
      </c>
      <c r="G210" t="str">
        <f t="shared" si="4"/>
        <v>1.59</v>
      </c>
      <c r="H210" t="str">
        <f t="shared" si="5"/>
        <v>12290664</v>
      </c>
      <c r="J210" t="str">
        <f t="shared" si="6"/>
        <v>si</v>
      </c>
      <c r="K210" t="str">
        <f t="shared" si="7"/>
        <v>1.74</v>
      </c>
    </row>
    <row r="211" ht="15.75" customHeight="1">
      <c r="B211" t="str">
        <f t="shared" si="1"/>
        <v>7088800</v>
      </c>
      <c r="C211" s="5" t="str">
        <f t="shared" si="8"/>
        <v>281.30%</v>
      </c>
      <c r="D211" t="str">
        <f t="shared" si="2"/>
        <v>1.44</v>
      </c>
      <c r="E211" t="str">
        <f t="shared" si="3"/>
        <v>11838296</v>
      </c>
      <c r="G211" t="str">
        <f t="shared" si="4"/>
        <v>1.59</v>
      </c>
      <c r="H211" t="str">
        <f t="shared" si="5"/>
        <v>12334512</v>
      </c>
      <c r="J211" t="str">
        <f t="shared" si="6"/>
        <v>si</v>
      </c>
      <c r="K211" t="str">
        <f t="shared" si="7"/>
        <v>1.74</v>
      </c>
    </row>
    <row r="212" ht="15.75" customHeight="1">
      <c r="B212" t="str">
        <f t="shared" si="1"/>
        <v>7114000</v>
      </c>
      <c r="C212" s="5" t="str">
        <f t="shared" si="8"/>
        <v>282.30%</v>
      </c>
      <c r="D212" t="str">
        <f t="shared" si="2"/>
        <v>1.44</v>
      </c>
      <c r="E212" t="str">
        <f t="shared" si="3"/>
        <v>11880380</v>
      </c>
      <c r="G212" t="str">
        <f t="shared" si="4"/>
        <v>1.59</v>
      </c>
      <c r="H212" t="str">
        <f t="shared" si="5"/>
        <v>12378360</v>
      </c>
      <c r="J212" t="str">
        <f t="shared" si="6"/>
        <v>si</v>
      </c>
      <c r="K212" t="str">
        <f t="shared" si="7"/>
        <v>1.74</v>
      </c>
    </row>
    <row r="213" ht="15.75" customHeight="1">
      <c r="B213" t="str">
        <f t="shared" si="1"/>
        <v>7139200</v>
      </c>
      <c r="C213" s="5" t="str">
        <f t="shared" si="8"/>
        <v>283.30%</v>
      </c>
      <c r="D213" t="str">
        <f t="shared" si="2"/>
        <v>1.44</v>
      </c>
      <c r="E213" t="str">
        <f t="shared" si="3"/>
        <v>11922464</v>
      </c>
      <c r="G213" t="str">
        <f t="shared" si="4"/>
        <v>1.59</v>
      </c>
      <c r="H213" t="str">
        <f t="shared" si="5"/>
        <v>12422208</v>
      </c>
      <c r="J213" t="str">
        <f t="shared" si="6"/>
        <v>si</v>
      </c>
      <c r="K213" t="str">
        <f t="shared" si="7"/>
        <v>1.74</v>
      </c>
    </row>
    <row r="214" ht="15.75" customHeight="1">
      <c r="B214" t="str">
        <f t="shared" si="1"/>
        <v>7164400</v>
      </c>
      <c r="C214" s="5" t="str">
        <f t="shared" si="8"/>
        <v>284.30%</v>
      </c>
      <c r="D214" t="str">
        <f t="shared" si="2"/>
        <v>1.44</v>
      </c>
      <c r="E214" t="str">
        <f t="shared" si="3"/>
        <v>11964548</v>
      </c>
      <c r="G214" t="str">
        <f t="shared" si="4"/>
        <v>1.59</v>
      </c>
      <c r="H214" t="str">
        <f t="shared" si="5"/>
        <v>12466056</v>
      </c>
      <c r="J214" t="str">
        <f t="shared" si="6"/>
        <v>si</v>
      </c>
      <c r="K214" t="str">
        <f t="shared" si="7"/>
        <v>1.74</v>
      </c>
    </row>
    <row r="215" ht="15.75" customHeight="1"/>
    <row r="216" ht="15.75" customHeight="1"/>
    <row r="217" ht="15.75" customHeight="1"/>
  </sheetData>
  <dataValidations>
    <dataValidation type="list" allowBlank="1" showErrorMessage="1" sqref="F3">
      <formula1>"Pago Anticipado Trimestre,Pago Anticipado año,Pago anticipadoSemestre,No aplica,VentasOro"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9.71"/>
    <col customWidth="1" min="3" max="4" width="10.71"/>
    <col customWidth="1" min="5" max="5" width="18.71"/>
    <col customWidth="1" min="6" max="6" width="12.29"/>
    <col customWidth="1" min="7" max="7" width="14.29"/>
    <col customWidth="1" min="8" max="8" width="13.71"/>
    <col customWidth="1" min="9" max="12" width="10.71"/>
    <col customWidth="1" min="13" max="13" width="13.14"/>
    <col customWidth="1" min="14" max="20" width="10.71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8</v>
      </c>
      <c r="J2" s="1" t="s">
        <v>9</v>
      </c>
      <c r="K2" s="1" t="s">
        <v>9</v>
      </c>
    </row>
    <row r="3">
      <c r="B3" t="str">
        <f t="array" ref="B3">XLOOKUP(D3,'[1]Matriz de Ejecutivos'!$B:$B,'[1]Matriz de Ejecutivos'!$C:$C,,0)</f>
        <v>#REF!</v>
      </c>
      <c r="C3" t="s">
        <v>65</v>
      </c>
      <c r="D3" t="str">
        <f>Hoja3!E3</f>
        <v>1065607667</v>
      </c>
      <c r="E3" t="str">
        <f>IF(C3="Principal",2520000,2200000)</f>
        <v>2200000</v>
      </c>
      <c r="F3" t="str">
        <f>Hoja3!G3</f>
        <v>VentasOro</v>
      </c>
      <c r="G3" t="str">
        <f t="array" ref="G3">XLOOKUP(D3,'[1]Matriz de Ejecutivos'!$B:$B,'[1]Matriz de Ejecutivos'!$I:$I,,0)</f>
        <v>#REF!</v>
      </c>
      <c r="H3" t="str">
        <f>versf!O3</f>
        <v>4000000</v>
      </c>
      <c r="I3" s="5" t="str">
        <f t="array" ref="I3">XLOOKUP("si", J17:J184, C17:C184)</f>
        <v>139.30%</v>
      </c>
      <c r="J3" s="5" t="str">
        <f>IF(I3-C17&gt;0,I3-C17,"Ya cumpliste")</f>
        <v>52.00%</v>
      </c>
      <c r="K3" s="5" t="str">
        <f>IF(I3-C17&gt;0,I3-C17,"Ya cumpliste")</f>
        <v>52.00%</v>
      </c>
    </row>
    <row r="6">
      <c r="B6" s="1" t="s">
        <v>13</v>
      </c>
    </row>
    <row r="7">
      <c r="B7" t="str">
        <f>versf!B7</f>
        <v>3</v>
      </c>
    </row>
    <row r="14">
      <c r="N14" s="2" t="str">
        <f>versf!U3</f>
        <v>8.00</v>
      </c>
    </row>
    <row r="16">
      <c r="B16" t="s">
        <v>57</v>
      </c>
      <c r="C16" t="s">
        <v>58</v>
      </c>
      <c r="D16" t="s">
        <v>59</v>
      </c>
      <c r="E16" t="s">
        <v>60</v>
      </c>
      <c r="G16" t="s">
        <v>61</v>
      </c>
      <c r="H16" t="s">
        <v>62</v>
      </c>
    </row>
    <row r="17">
      <c r="B17" t="str">
        <f t="shared" ref="B17:B184" si="1">$E$3*C17</f>
        <v>1920634.921</v>
      </c>
      <c r="C17" s="3" t="str">
        <f>versf!R3</f>
        <v>87.30%</v>
      </c>
      <c r="D17" t="str">
        <f t="shared" ref="D17:D184" si="2">IF(C17&gt;=2,1.44,IF(C17&gt;=1.63,1.28,IF(C17&gt;=1.25,1.08,IF(C17&gt;=1,0.92,IF(C17&gt;=0.75,0.56,IF(C17&gt;=0.5,0.32,0))))))</f>
        <v>0.56</v>
      </c>
      <c r="E17" t="str">
        <f t="shared" ref="E17:E184" si="3">IF($N$14&gt;0,B17*(D17+$N$25),B17*D17)</f>
        <v>1517301.587</v>
      </c>
      <c r="G17" t="str">
        <f t="shared" ref="G17:G184" si="4">IF(C17&gt;=2,1.44,IF(C17&gt;=1.6,1.28,IF(C17&gt;=1.3,1.08,IF(C17&gt;=1,0.92,IF(C17&gt;=0.8,0.56,IF(C17&gt;=0.5,0.32,0))))))+$N$25</f>
        <v>0.79</v>
      </c>
      <c r="H17" t="str">
        <f t="shared" ref="H17:H184" si="5">B17*G17</f>
        <v>1517301.587</v>
      </c>
      <c r="J17" t="str">
        <f t="shared" ref="J17:J184" si="6">IF(E17&lt;$H$3,"no","si")</f>
        <v>no</v>
      </c>
      <c r="K17" t="str">
        <f t="shared" ref="K17:K184" si="7">IF($B$7&gt;=5,G17+0.3,IF($B$7&gt;=2,G17+0.15,G17))</f>
        <v>0.94</v>
      </c>
      <c r="N17">
        <v>0.0</v>
      </c>
      <c r="O17">
        <v>3.0</v>
      </c>
      <c r="P17">
        <v>0.0</v>
      </c>
    </row>
    <row r="18">
      <c r="B18" t="str">
        <f t="shared" si="1"/>
        <v>1942634.921</v>
      </c>
      <c r="C18" s="5" t="str">
        <f t="shared" ref="C18:C184" si="8">C17+0.01</f>
        <v>88.30%</v>
      </c>
      <c r="D18" t="str">
        <f t="shared" si="2"/>
        <v>0.56</v>
      </c>
      <c r="E18" t="str">
        <f t="shared" si="3"/>
        <v>1534681.587</v>
      </c>
      <c r="G18" t="str">
        <f t="shared" si="4"/>
        <v>0.79</v>
      </c>
      <c r="H18" t="str">
        <f t="shared" si="5"/>
        <v>1534681.587</v>
      </c>
      <c r="J18" t="str">
        <f t="shared" si="6"/>
        <v>no</v>
      </c>
      <c r="K18" t="str">
        <f t="shared" si="7"/>
        <v>0.94</v>
      </c>
      <c r="N18">
        <v>4.0</v>
      </c>
      <c r="O18">
        <v>5.0</v>
      </c>
      <c r="P18">
        <v>0.08000000000000002</v>
      </c>
    </row>
    <row r="19">
      <c r="B19" t="str">
        <f t="shared" si="1"/>
        <v>1964634.921</v>
      </c>
      <c r="C19" s="5" t="str">
        <f t="shared" si="8"/>
        <v>89.30%</v>
      </c>
      <c r="D19" t="str">
        <f t="shared" si="2"/>
        <v>0.56</v>
      </c>
      <c r="E19" t="str">
        <f t="shared" si="3"/>
        <v>1552061.587</v>
      </c>
      <c r="G19" t="str">
        <f t="shared" si="4"/>
        <v>0.79</v>
      </c>
      <c r="H19" t="str">
        <f t="shared" si="5"/>
        <v>1552061.587</v>
      </c>
      <c r="J19" t="str">
        <f t="shared" si="6"/>
        <v>no</v>
      </c>
      <c r="K19" t="str">
        <f t="shared" si="7"/>
        <v>0.94</v>
      </c>
      <c r="N19">
        <v>6.0</v>
      </c>
      <c r="O19">
        <v>7.0</v>
      </c>
      <c r="P19">
        <v>0.13999999999999999</v>
      </c>
    </row>
    <row r="20">
      <c r="B20" t="str">
        <f t="shared" si="1"/>
        <v>1986634.921</v>
      </c>
      <c r="C20" s="5" t="str">
        <f t="shared" si="8"/>
        <v>90.30%</v>
      </c>
      <c r="D20" t="str">
        <f t="shared" si="2"/>
        <v>0.56</v>
      </c>
      <c r="E20" t="str">
        <f t="shared" si="3"/>
        <v>1569441.587</v>
      </c>
      <c r="G20" t="str">
        <f t="shared" si="4"/>
        <v>0.79</v>
      </c>
      <c r="H20" t="str">
        <f t="shared" si="5"/>
        <v>1569441.587</v>
      </c>
      <c r="J20" t="str">
        <f t="shared" si="6"/>
        <v>no</v>
      </c>
      <c r="K20" t="str">
        <f t="shared" si="7"/>
        <v>0.94</v>
      </c>
      <c r="N20">
        <v>8.0</v>
      </c>
      <c r="O20">
        <v>9.0</v>
      </c>
      <c r="P20">
        <v>0.22999999999999998</v>
      </c>
    </row>
    <row r="21" ht="15.75" customHeight="1">
      <c r="B21" t="str">
        <f t="shared" si="1"/>
        <v>2008634.921</v>
      </c>
      <c r="C21" s="5" t="str">
        <f t="shared" si="8"/>
        <v>91.30%</v>
      </c>
      <c r="D21" t="str">
        <f t="shared" si="2"/>
        <v>0.56</v>
      </c>
      <c r="E21" t="str">
        <f t="shared" si="3"/>
        <v>1586821.587</v>
      </c>
      <c r="G21" t="str">
        <f t="shared" si="4"/>
        <v>0.79</v>
      </c>
      <c r="H21" t="str">
        <f t="shared" si="5"/>
        <v>1586821.587</v>
      </c>
      <c r="J21" t="str">
        <f t="shared" si="6"/>
        <v>no</v>
      </c>
      <c r="K21" t="str">
        <f t="shared" si="7"/>
        <v>0.94</v>
      </c>
      <c r="N21">
        <v>10.0</v>
      </c>
      <c r="O21">
        <v>12.0</v>
      </c>
      <c r="P21">
        <v>0.27</v>
      </c>
    </row>
    <row r="22" ht="15.75" customHeight="1">
      <c r="B22" t="str">
        <f t="shared" si="1"/>
        <v>2030634.921</v>
      </c>
      <c r="C22" s="5" t="str">
        <f t="shared" si="8"/>
        <v>92.30%</v>
      </c>
      <c r="D22" t="str">
        <f t="shared" si="2"/>
        <v>0.56</v>
      </c>
      <c r="E22" t="str">
        <f t="shared" si="3"/>
        <v>1604201.587</v>
      </c>
      <c r="G22" t="str">
        <f t="shared" si="4"/>
        <v>0.79</v>
      </c>
      <c r="H22" t="str">
        <f t="shared" si="5"/>
        <v>1604201.587</v>
      </c>
      <c r="J22" t="str">
        <f t="shared" si="6"/>
        <v>no</v>
      </c>
      <c r="K22" t="str">
        <f t="shared" si="7"/>
        <v>0.94</v>
      </c>
      <c r="N22">
        <v>13.0</v>
      </c>
      <c r="O22">
        <v>15.0</v>
      </c>
      <c r="P22">
        <v>0.32000000000000006</v>
      </c>
    </row>
    <row r="23" ht="15.75" customHeight="1">
      <c r="B23" t="str">
        <f t="shared" si="1"/>
        <v>2052634.921</v>
      </c>
      <c r="C23" s="5" t="str">
        <f t="shared" si="8"/>
        <v>93.30%</v>
      </c>
      <c r="D23" t="str">
        <f t="shared" si="2"/>
        <v>0.56</v>
      </c>
      <c r="E23" t="str">
        <f t="shared" si="3"/>
        <v>1621581.587</v>
      </c>
      <c r="G23" t="str">
        <f t="shared" si="4"/>
        <v>0.79</v>
      </c>
      <c r="H23" t="str">
        <f t="shared" si="5"/>
        <v>1621581.587</v>
      </c>
      <c r="J23" t="str">
        <f t="shared" si="6"/>
        <v>no</v>
      </c>
      <c r="K23" t="str">
        <f t="shared" si="7"/>
        <v>0.94</v>
      </c>
      <c r="N23">
        <v>16.0</v>
      </c>
      <c r="O23" t="s">
        <v>48</v>
      </c>
      <c r="P23">
        <v>0.36000000000000004</v>
      </c>
    </row>
    <row r="24" ht="15.75" customHeight="1">
      <c r="B24" t="str">
        <f t="shared" si="1"/>
        <v>2074634.921</v>
      </c>
      <c r="C24" s="5" t="str">
        <f t="shared" si="8"/>
        <v>94.30%</v>
      </c>
      <c r="D24" t="str">
        <f t="shared" si="2"/>
        <v>0.56</v>
      </c>
      <c r="E24" t="str">
        <f t="shared" si="3"/>
        <v>1638961.587</v>
      </c>
      <c r="G24" t="str">
        <f t="shared" si="4"/>
        <v>0.79</v>
      </c>
      <c r="H24" t="str">
        <f t="shared" si="5"/>
        <v>1638961.587</v>
      </c>
      <c r="J24" t="str">
        <f t="shared" si="6"/>
        <v>no</v>
      </c>
      <c r="K24" t="str">
        <f t="shared" si="7"/>
        <v>0.94</v>
      </c>
    </row>
    <row r="25" ht="15.75" customHeight="1">
      <c r="B25" t="str">
        <f t="shared" si="1"/>
        <v>2096634.921</v>
      </c>
      <c r="C25" s="5" t="str">
        <f t="shared" si="8"/>
        <v>95.30%</v>
      </c>
      <c r="D25" t="str">
        <f t="shared" si="2"/>
        <v>0.56</v>
      </c>
      <c r="E25" t="str">
        <f t="shared" si="3"/>
        <v>1656341.587</v>
      </c>
      <c r="G25" t="str">
        <f t="shared" si="4"/>
        <v>0.79</v>
      </c>
      <c r="H25" t="str">
        <f t="shared" si="5"/>
        <v>1656341.587</v>
      </c>
      <c r="J25" t="str">
        <f t="shared" si="6"/>
        <v>no</v>
      </c>
      <c r="K25" t="str">
        <f t="shared" si="7"/>
        <v>0.94</v>
      </c>
      <c r="M25" t="s">
        <v>63</v>
      </c>
      <c r="N25" t="str">
        <f>IF(N14&gt;=17,P23,IF(N14&gt;=14,P22,IF(N14&gt;=11,P21,IF(N14&gt;=8,P20,IF(N14&gt;=6,P19,IF(N14&gt;=4,P18,0))))))</f>
        <v>0.23</v>
      </c>
    </row>
    <row r="26" ht="15.75" customHeight="1">
      <c r="B26" t="str">
        <f t="shared" si="1"/>
        <v>2118634.921</v>
      </c>
      <c r="C26" s="5" t="str">
        <f t="shared" si="8"/>
        <v>96.30%</v>
      </c>
      <c r="D26" t="str">
        <f t="shared" si="2"/>
        <v>0.56</v>
      </c>
      <c r="E26" t="str">
        <f t="shared" si="3"/>
        <v>1673721.587</v>
      </c>
      <c r="G26" t="str">
        <f t="shared" si="4"/>
        <v>0.79</v>
      </c>
      <c r="H26" t="str">
        <f t="shared" si="5"/>
        <v>1673721.587</v>
      </c>
      <c r="J26" t="str">
        <f t="shared" si="6"/>
        <v>no</v>
      </c>
      <c r="K26" t="str">
        <f t="shared" si="7"/>
        <v>0.94</v>
      </c>
      <c r="M26" t="s">
        <v>64</v>
      </c>
      <c r="N26" t="str">
        <f>N25*B17</f>
        <v>441746.0317</v>
      </c>
    </row>
    <row r="27" ht="15.75" customHeight="1">
      <c r="B27" t="str">
        <f t="shared" si="1"/>
        <v>2140634.921</v>
      </c>
      <c r="C27" s="5" t="str">
        <f t="shared" si="8"/>
        <v>97.30%</v>
      </c>
      <c r="D27" t="str">
        <f t="shared" si="2"/>
        <v>0.56</v>
      </c>
      <c r="E27" t="str">
        <f t="shared" si="3"/>
        <v>1691101.587</v>
      </c>
      <c r="G27" t="str">
        <f t="shared" si="4"/>
        <v>0.79</v>
      </c>
      <c r="H27" t="str">
        <f t="shared" si="5"/>
        <v>1691101.587</v>
      </c>
      <c r="J27" t="str">
        <f t="shared" si="6"/>
        <v>no</v>
      </c>
      <c r="K27" t="str">
        <f t="shared" si="7"/>
        <v>0.94</v>
      </c>
    </row>
    <row r="28" ht="15.75" customHeight="1">
      <c r="B28" t="str">
        <f t="shared" si="1"/>
        <v>2162634.921</v>
      </c>
      <c r="C28" s="5" t="str">
        <f t="shared" si="8"/>
        <v>98.30%</v>
      </c>
      <c r="D28" t="str">
        <f t="shared" si="2"/>
        <v>0.56</v>
      </c>
      <c r="E28" t="str">
        <f t="shared" si="3"/>
        <v>1708481.587</v>
      </c>
      <c r="G28" t="str">
        <f t="shared" si="4"/>
        <v>0.79</v>
      </c>
      <c r="H28" t="str">
        <f t="shared" si="5"/>
        <v>1708481.587</v>
      </c>
      <c r="J28" t="str">
        <f t="shared" si="6"/>
        <v>no</v>
      </c>
      <c r="K28" t="str">
        <f t="shared" si="7"/>
        <v>0.94</v>
      </c>
    </row>
    <row r="29" ht="15.75" customHeight="1">
      <c r="B29" t="str">
        <f t="shared" si="1"/>
        <v>2184634.921</v>
      </c>
      <c r="C29" s="5" t="str">
        <f t="shared" si="8"/>
        <v>99.30%</v>
      </c>
      <c r="D29" t="str">
        <f t="shared" si="2"/>
        <v>0.56</v>
      </c>
      <c r="E29" t="str">
        <f t="shared" si="3"/>
        <v>1725861.587</v>
      </c>
      <c r="G29" t="str">
        <f t="shared" si="4"/>
        <v>0.79</v>
      </c>
      <c r="H29" t="str">
        <f t="shared" si="5"/>
        <v>1725861.587</v>
      </c>
      <c r="J29" t="str">
        <f t="shared" si="6"/>
        <v>no</v>
      </c>
      <c r="K29" t="str">
        <f t="shared" si="7"/>
        <v>0.94</v>
      </c>
    </row>
    <row r="30" ht="15.75" customHeight="1">
      <c r="B30" t="str">
        <f t="shared" si="1"/>
        <v>2206634.921</v>
      </c>
      <c r="C30" s="5" t="str">
        <f t="shared" si="8"/>
        <v>100.30%</v>
      </c>
      <c r="D30" t="str">
        <f t="shared" si="2"/>
        <v>0.92</v>
      </c>
      <c r="E30" t="str">
        <f t="shared" si="3"/>
        <v>2537630.159</v>
      </c>
      <c r="G30" t="str">
        <f t="shared" si="4"/>
        <v>1.15</v>
      </c>
      <c r="H30" t="str">
        <f t="shared" si="5"/>
        <v>2537630.159</v>
      </c>
      <c r="J30" t="str">
        <f t="shared" si="6"/>
        <v>no</v>
      </c>
      <c r="K30" t="str">
        <f t="shared" si="7"/>
        <v>1.3</v>
      </c>
    </row>
    <row r="31" ht="15.75" customHeight="1">
      <c r="B31" t="str">
        <f t="shared" si="1"/>
        <v>2228634.921</v>
      </c>
      <c r="C31" s="5" t="str">
        <f t="shared" si="8"/>
        <v>101.30%</v>
      </c>
      <c r="D31" t="str">
        <f t="shared" si="2"/>
        <v>0.92</v>
      </c>
      <c r="E31" t="str">
        <f t="shared" si="3"/>
        <v>2562930.159</v>
      </c>
      <c r="G31" t="str">
        <f t="shared" si="4"/>
        <v>1.15</v>
      </c>
      <c r="H31" t="str">
        <f t="shared" si="5"/>
        <v>2562930.159</v>
      </c>
      <c r="J31" t="str">
        <f t="shared" si="6"/>
        <v>no</v>
      </c>
      <c r="K31" t="str">
        <f t="shared" si="7"/>
        <v>1.3</v>
      </c>
    </row>
    <row r="32" ht="15.75" customHeight="1">
      <c r="B32" t="str">
        <f t="shared" si="1"/>
        <v>2250634.921</v>
      </c>
      <c r="C32" s="5" t="str">
        <f t="shared" si="8"/>
        <v>102.30%</v>
      </c>
      <c r="D32" t="str">
        <f t="shared" si="2"/>
        <v>0.92</v>
      </c>
      <c r="E32" t="str">
        <f t="shared" si="3"/>
        <v>2588230.159</v>
      </c>
      <c r="G32" t="str">
        <f t="shared" si="4"/>
        <v>1.15</v>
      </c>
      <c r="H32" t="str">
        <f t="shared" si="5"/>
        <v>2588230.159</v>
      </c>
      <c r="J32" t="str">
        <f t="shared" si="6"/>
        <v>no</v>
      </c>
      <c r="K32" t="str">
        <f t="shared" si="7"/>
        <v>1.3</v>
      </c>
    </row>
    <row r="33" ht="15.75" customHeight="1">
      <c r="B33" t="str">
        <f t="shared" si="1"/>
        <v>2272634.921</v>
      </c>
      <c r="C33" s="5" t="str">
        <f t="shared" si="8"/>
        <v>103.30%</v>
      </c>
      <c r="D33" t="str">
        <f t="shared" si="2"/>
        <v>0.92</v>
      </c>
      <c r="E33" t="str">
        <f t="shared" si="3"/>
        <v>2613530.159</v>
      </c>
      <c r="G33" t="str">
        <f t="shared" si="4"/>
        <v>1.15</v>
      </c>
      <c r="H33" t="str">
        <f t="shared" si="5"/>
        <v>2613530.159</v>
      </c>
      <c r="J33" t="str">
        <f t="shared" si="6"/>
        <v>no</v>
      </c>
      <c r="K33" t="str">
        <f t="shared" si="7"/>
        <v>1.3</v>
      </c>
    </row>
    <row r="34" ht="15.75" customHeight="1">
      <c r="B34" t="str">
        <f t="shared" si="1"/>
        <v>2294634.921</v>
      </c>
      <c r="C34" s="5" t="str">
        <f t="shared" si="8"/>
        <v>104.30%</v>
      </c>
      <c r="D34" t="str">
        <f t="shared" si="2"/>
        <v>0.92</v>
      </c>
      <c r="E34" t="str">
        <f t="shared" si="3"/>
        <v>2638830.159</v>
      </c>
      <c r="G34" t="str">
        <f t="shared" si="4"/>
        <v>1.15</v>
      </c>
      <c r="H34" t="str">
        <f t="shared" si="5"/>
        <v>2638830.159</v>
      </c>
      <c r="J34" t="str">
        <f t="shared" si="6"/>
        <v>no</v>
      </c>
      <c r="K34" t="str">
        <f t="shared" si="7"/>
        <v>1.3</v>
      </c>
    </row>
    <row r="35" ht="15.75" customHeight="1">
      <c r="B35" t="str">
        <f t="shared" si="1"/>
        <v>2316634.921</v>
      </c>
      <c r="C35" s="5" t="str">
        <f t="shared" si="8"/>
        <v>105.30%</v>
      </c>
      <c r="D35" t="str">
        <f t="shared" si="2"/>
        <v>0.92</v>
      </c>
      <c r="E35" t="str">
        <f t="shared" si="3"/>
        <v>2664130.159</v>
      </c>
      <c r="G35" t="str">
        <f t="shared" si="4"/>
        <v>1.15</v>
      </c>
      <c r="H35" t="str">
        <f t="shared" si="5"/>
        <v>2664130.159</v>
      </c>
      <c r="J35" t="str">
        <f t="shared" si="6"/>
        <v>no</v>
      </c>
      <c r="K35" t="str">
        <f t="shared" si="7"/>
        <v>1.3</v>
      </c>
    </row>
    <row r="36" ht="15.75" customHeight="1">
      <c r="B36" t="str">
        <f t="shared" si="1"/>
        <v>2338634.921</v>
      </c>
      <c r="C36" s="5" t="str">
        <f t="shared" si="8"/>
        <v>106.30%</v>
      </c>
      <c r="D36" t="str">
        <f t="shared" si="2"/>
        <v>0.92</v>
      </c>
      <c r="E36" t="str">
        <f t="shared" si="3"/>
        <v>2689430.159</v>
      </c>
      <c r="G36" t="str">
        <f t="shared" si="4"/>
        <v>1.15</v>
      </c>
      <c r="H36" t="str">
        <f t="shared" si="5"/>
        <v>2689430.159</v>
      </c>
      <c r="J36" t="str">
        <f t="shared" si="6"/>
        <v>no</v>
      </c>
      <c r="K36" t="str">
        <f t="shared" si="7"/>
        <v>1.3</v>
      </c>
    </row>
    <row r="37" ht="15.75" customHeight="1">
      <c r="B37" t="str">
        <f t="shared" si="1"/>
        <v>2360634.921</v>
      </c>
      <c r="C37" s="5" t="str">
        <f t="shared" si="8"/>
        <v>107.30%</v>
      </c>
      <c r="D37" t="str">
        <f t="shared" si="2"/>
        <v>0.92</v>
      </c>
      <c r="E37" t="str">
        <f t="shared" si="3"/>
        <v>2714730.159</v>
      </c>
      <c r="G37" t="str">
        <f t="shared" si="4"/>
        <v>1.15</v>
      </c>
      <c r="H37" t="str">
        <f t="shared" si="5"/>
        <v>2714730.159</v>
      </c>
      <c r="J37" t="str">
        <f t="shared" si="6"/>
        <v>no</v>
      </c>
      <c r="K37" t="str">
        <f t="shared" si="7"/>
        <v>1.3</v>
      </c>
    </row>
    <row r="38" ht="15.75" customHeight="1">
      <c r="B38" t="str">
        <f t="shared" si="1"/>
        <v>2382634.921</v>
      </c>
      <c r="C38" s="5" t="str">
        <f t="shared" si="8"/>
        <v>108.30%</v>
      </c>
      <c r="D38" t="str">
        <f t="shared" si="2"/>
        <v>0.92</v>
      </c>
      <c r="E38" t="str">
        <f t="shared" si="3"/>
        <v>2740030.159</v>
      </c>
      <c r="G38" t="str">
        <f t="shared" si="4"/>
        <v>1.15</v>
      </c>
      <c r="H38" t="str">
        <f t="shared" si="5"/>
        <v>2740030.159</v>
      </c>
      <c r="J38" t="str">
        <f t="shared" si="6"/>
        <v>no</v>
      </c>
      <c r="K38" t="str">
        <f t="shared" si="7"/>
        <v>1.3</v>
      </c>
    </row>
    <row r="39" ht="15.75" customHeight="1">
      <c r="B39" t="str">
        <f t="shared" si="1"/>
        <v>2404634.921</v>
      </c>
      <c r="C39" s="5" t="str">
        <f t="shared" si="8"/>
        <v>109.30%</v>
      </c>
      <c r="D39" t="str">
        <f t="shared" si="2"/>
        <v>0.92</v>
      </c>
      <c r="E39" t="str">
        <f t="shared" si="3"/>
        <v>2765330.159</v>
      </c>
      <c r="G39" t="str">
        <f t="shared" si="4"/>
        <v>1.15</v>
      </c>
      <c r="H39" t="str">
        <f t="shared" si="5"/>
        <v>2765330.159</v>
      </c>
      <c r="J39" t="str">
        <f t="shared" si="6"/>
        <v>no</v>
      </c>
      <c r="K39" t="str">
        <f t="shared" si="7"/>
        <v>1.3</v>
      </c>
    </row>
    <row r="40" ht="15.75" customHeight="1">
      <c r="B40" t="str">
        <f t="shared" si="1"/>
        <v>2426634.921</v>
      </c>
      <c r="C40" s="5" t="str">
        <f t="shared" si="8"/>
        <v>110.30%</v>
      </c>
      <c r="D40" t="str">
        <f t="shared" si="2"/>
        <v>0.92</v>
      </c>
      <c r="E40" t="str">
        <f t="shared" si="3"/>
        <v>2790630.159</v>
      </c>
      <c r="G40" t="str">
        <f t="shared" si="4"/>
        <v>1.15</v>
      </c>
      <c r="H40" t="str">
        <f t="shared" si="5"/>
        <v>2790630.159</v>
      </c>
      <c r="J40" t="str">
        <f t="shared" si="6"/>
        <v>no</v>
      </c>
      <c r="K40" t="str">
        <f t="shared" si="7"/>
        <v>1.3</v>
      </c>
    </row>
    <row r="41" ht="15.75" customHeight="1">
      <c r="B41" t="str">
        <f t="shared" si="1"/>
        <v>2448634.921</v>
      </c>
      <c r="C41" s="5" t="str">
        <f t="shared" si="8"/>
        <v>111.30%</v>
      </c>
      <c r="D41" t="str">
        <f t="shared" si="2"/>
        <v>0.92</v>
      </c>
      <c r="E41" t="str">
        <f t="shared" si="3"/>
        <v>2815930.159</v>
      </c>
      <c r="G41" t="str">
        <f t="shared" si="4"/>
        <v>1.15</v>
      </c>
      <c r="H41" t="str">
        <f t="shared" si="5"/>
        <v>2815930.159</v>
      </c>
      <c r="J41" t="str">
        <f t="shared" si="6"/>
        <v>no</v>
      </c>
      <c r="K41" t="str">
        <f t="shared" si="7"/>
        <v>1.3</v>
      </c>
    </row>
    <row r="42" ht="15.75" customHeight="1">
      <c r="B42" t="str">
        <f t="shared" si="1"/>
        <v>2470634.921</v>
      </c>
      <c r="C42" s="5" t="str">
        <f t="shared" si="8"/>
        <v>112.30%</v>
      </c>
      <c r="D42" t="str">
        <f t="shared" si="2"/>
        <v>0.92</v>
      </c>
      <c r="E42" t="str">
        <f t="shared" si="3"/>
        <v>2841230.159</v>
      </c>
      <c r="G42" t="str">
        <f t="shared" si="4"/>
        <v>1.15</v>
      </c>
      <c r="H42" t="str">
        <f t="shared" si="5"/>
        <v>2841230.159</v>
      </c>
      <c r="J42" t="str">
        <f t="shared" si="6"/>
        <v>no</v>
      </c>
      <c r="K42" t="str">
        <f t="shared" si="7"/>
        <v>1.3</v>
      </c>
    </row>
    <row r="43" ht="15.75" customHeight="1">
      <c r="B43" t="str">
        <f t="shared" si="1"/>
        <v>2492634.921</v>
      </c>
      <c r="C43" s="5" t="str">
        <f t="shared" si="8"/>
        <v>113.30%</v>
      </c>
      <c r="D43" t="str">
        <f t="shared" si="2"/>
        <v>0.92</v>
      </c>
      <c r="E43" t="str">
        <f t="shared" si="3"/>
        <v>2866530.159</v>
      </c>
      <c r="G43" t="str">
        <f t="shared" si="4"/>
        <v>1.15</v>
      </c>
      <c r="H43" t="str">
        <f t="shared" si="5"/>
        <v>2866530.159</v>
      </c>
      <c r="J43" t="str">
        <f t="shared" si="6"/>
        <v>no</v>
      </c>
      <c r="K43" t="str">
        <f t="shared" si="7"/>
        <v>1.3</v>
      </c>
    </row>
    <row r="44" ht="15.75" customHeight="1">
      <c r="B44" t="str">
        <f t="shared" si="1"/>
        <v>2514634.921</v>
      </c>
      <c r="C44" s="5" t="str">
        <f t="shared" si="8"/>
        <v>114.30%</v>
      </c>
      <c r="D44" t="str">
        <f t="shared" si="2"/>
        <v>0.92</v>
      </c>
      <c r="E44" t="str">
        <f t="shared" si="3"/>
        <v>2891830.159</v>
      </c>
      <c r="G44" t="str">
        <f t="shared" si="4"/>
        <v>1.15</v>
      </c>
      <c r="H44" t="str">
        <f t="shared" si="5"/>
        <v>2891830.159</v>
      </c>
      <c r="J44" t="str">
        <f t="shared" si="6"/>
        <v>no</v>
      </c>
      <c r="K44" t="str">
        <f t="shared" si="7"/>
        <v>1.3</v>
      </c>
    </row>
    <row r="45" ht="15.75" customHeight="1">
      <c r="B45" t="str">
        <f t="shared" si="1"/>
        <v>2536634.921</v>
      </c>
      <c r="C45" s="5" t="str">
        <f t="shared" si="8"/>
        <v>115.30%</v>
      </c>
      <c r="D45" t="str">
        <f t="shared" si="2"/>
        <v>0.92</v>
      </c>
      <c r="E45" t="str">
        <f t="shared" si="3"/>
        <v>2917130.159</v>
      </c>
      <c r="G45" t="str">
        <f t="shared" si="4"/>
        <v>1.15</v>
      </c>
      <c r="H45" t="str">
        <f t="shared" si="5"/>
        <v>2917130.159</v>
      </c>
      <c r="J45" t="str">
        <f t="shared" si="6"/>
        <v>no</v>
      </c>
      <c r="K45" t="str">
        <f t="shared" si="7"/>
        <v>1.3</v>
      </c>
    </row>
    <row r="46" ht="15.75" customHeight="1">
      <c r="B46" t="str">
        <f t="shared" si="1"/>
        <v>2558634.921</v>
      </c>
      <c r="C46" s="5" t="str">
        <f t="shared" si="8"/>
        <v>116.30%</v>
      </c>
      <c r="D46" t="str">
        <f t="shared" si="2"/>
        <v>0.92</v>
      </c>
      <c r="E46" t="str">
        <f t="shared" si="3"/>
        <v>2942430.159</v>
      </c>
      <c r="G46" t="str">
        <f t="shared" si="4"/>
        <v>1.15</v>
      </c>
      <c r="H46" t="str">
        <f t="shared" si="5"/>
        <v>2942430.159</v>
      </c>
      <c r="J46" t="str">
        <f t="shared" si="6"/>
        <v>no</v>
      </c>
      <c r="K46" t="str">
        <f t="shared" si="7"/>
        <v>1.3</v>
      </c>
    </row>
    <row r="47" ht="15.75" customHeight="1">
      <c r="B47" t="str">
        <f t="shared" si="1"/>
        <v>2580634.921</v>
      </c>
      <c r="C47" s="5" t="str">
        <f t="shared" si="8"/>
        <v>117.30%</v>
      </c>
      <c r="D47" t="str">
        <f t="shared" si="2"/>
        <v>0.92</v>
      </c>
      <c r="E47" t="str">
        <f t="shared" si="3"/>
        <v>2967730.159</v>
      </c>
      <c r="G47" t="str">
        <f t="shared" si="4"/>
        <v>1.15</v>
      </c>
      <c r="H47" t="str">
        <f t="shared" si="5"/>
        <v>2967730.159</v>
      </c>
      <c r="J47" t="str">
        <f t="shared" si="6"/>
        <v>no</v>
      </c>
      <c r="K47" t="str">
        <f t="shared" si="7"/>
        <v>1.3</v>
      </c>
    </row>
    <row r="48" ht="15.75" customHeight="1">
      <c r="B48" t="str">
        <f t="shared" si="1"/>
        <v>2602634.921</v>
      </c>
      <c r="C48" s="5" t="str">
        <f t="shared" si="8"/>
        <v>118.30%</v>
      </c>
      <c r="D48" t="str">
        <f t="shared" si="2"/>
        <v>0.92</v>
      </c>
      <c r="E48" t="str">
        <f t="shared" si="3"/>
        <v>2993030.159</v>
      </c>
      <c r="G48" t="str">
        <f t="shared" si="4"/>
        <v>1.15</v>
      </c>
      <c r="H48" t="str">
        <f t="shared" si="5"/>
        <v>2993030.159</v>
      </c>
      <c r="J48" t="str">
        <f t="shared" si="6"/>
        <v>no</v>
      </c>
      <c r="K48" t="str">
        <f t="shared" si="7"/>
        <v>1.3</v>
      </c>
    </row>
    <row r="49" ht="15.75" customHeight="1">
      <c r="B49" t="str">
        <f t="shared" si="1"/>
        <v>2624634.921</v>
      </c>
      <c r="C49" s="5" t="str">
        <f t="shared" si="8"/>
        <v>119.30%</v>
      </c>
      <c r="D49" t="str">
        <f t="shared" si="2"/>
        <v>0.92</v>
      </c>
      <c r="E49" t="str">
        <f t="shared" si="3"/>
        <v>3018330.159</v>
      </c>
      <c r="G49" t="str">
        <f t="shared" si="4"/>
        <v>1.15</v>
      </c>
      <c r="H49" t="str">
        <f t="shared" si="5"/>
        <v>3018330.159</v>
      </c>
      <c r="J49" t="str">
        <f t="shared" si="6"/>
        <v>no</v>
      </c>
      <c r="K49" t="str">
        <f t="shared" si="7"/>
        <v>1.3</v>
      </c>
    </row>
    <row r="50" ht="15.75" customHeight="1">
      <c r="B50" t="str">
        <f t="shared" si="1"/>
        <v>2646634.921</v>
      </c>
      <c r="C50" s="5" t="str">
        <f t="shared" si="8"/>
        <v>120.30%</v>
      </c>
      <c r="D50" t="str">
        <f t="shared" si="2"/>
        <v>0.92</v>
      </c>
      <c r="E50" t="str">
        <f t="shared" si="3"/>
        <v>3043630.159</v>
      </c>
      <c r="G50" t="str">
        <f t="shared" si="4"/>
        <v>1.15</v>
      </c>
      <c r="H50" t="str">
        <f t="shared" si="5"/>
        <v>3043630.159</v>
      </c>
      <c r="J50" t="str">
        <f t="shared" si="6"/>
        <v>no</v>
      </c>
      <c r="K50" t="str">
        <f t="shared" si="7"/>
        <v>1.3</v>
      </c>
    </row>
    <row r="51" ht="15.75" customHeight="1">
      <c r="B51" t="str">
        <f t="shared" si="1"/>
        <v>2668634.921</v>
      </c>
      <c r="C51" s="5" t="str">
        <f t="shared" si="8"/>
        <v>121.30%</v>
      </c>
      <c r="D51" t="str">
        <f t="shared" si="2"/>
        <v>0.92</v>
      </c>
      <c r="E51" t="str">
        <f t="shared" si="3"/>
        <v>3068930.159</v>
      </c>
      <c r="G51" t="str">
        <f t="shared" si="4"/>
        <v>1.15</v>
      </c>
      <c r="H51" t="str">
        <f t="shared" si="5"/>
        <v>3068930.159</v>
      </c>
      <c r="J51" t="str">
        <f t="shared" si="6"/>
        <v>no</v>
      </c>
      <c r="K51" t="str">
        <f t="shared" si="7"/>
        <v>1.3</v>
      </c>
    </row>
    <row r="52" ht="15.75" customHeight="1">
      <c r="B52" t="str">
        <f t="shared" si="1"/>
        <v>2690634.921</v>
      </c>
      <c r="C52" s="5" t="str">
        <f t="shared" si="8"/>
        <v>122.30%</v>
      </c>
      <c r="D52" t="str">
        <f t="shared" si="2"/>
        <v>0.92</v>
      </c>
      <c r="E52" t="str">
        <f t="shared" si="3"/>
        <v>3094230.159</v>
      </c>
      <c r="G52" t="str">
        <f t="shared" si="4"/>
        <v>1.15</v>
      </c>
      <c r="H52" t="str">
        <f t="shared" si="5"/>
        <v>3094230.159</v>
      </c>
      <c r="J52" t="str">
        <f t="shared" si="6"/>
        <v>no</v>
      </c>
      <c r="K52" t="str">
        <f t="shared" si="7"/>
        <v>1.3</v>
      </c>
    </row>
    <row r="53" ht="15.75" customHeight="1">
      <c r="B53" t="str">
        <f t="shared" si="1"/>
        <v>2712634.921</v>
      </c>
      <c r="C53" s="5" t="str">
        <f t="shared" si="8"/>
        <v>123.30%</v>
      </c>
      <c r="D53" t="str">
        <f t="shared" si="2"/>
        <v>0.92</v>
      </c>
      <c r="E53" t="str">
        <f t="shared" si="3"/>
        <v>3119530.159</v>
      </c>
      <c r="G53" t="str">
        <f t="shared" si="4"/>
        <v>1.15</v>
      </c>
      <c r="H53" t="str">
        <f t="shared" si="5"/>
        <v>3119530.159</v>
      </c>
      <c r="J53" t="str">
        <f t="shared" si="6"/>
        <v>no</v>
      </c>
      <c r="K53" t="str">
        <f t="shared" si="7"/>
        <v>1.3</v>
      </c>
    </row>
    <row r="54" ht="15.75" customHeight="1">
      <c r="B54" t="str">
        <f t="shared" si="1"/>
        <v>2734634.921</v>
      </c>
      <c r="C54" s="5" t="str">
        <f t="shared" si="8"/>
        <v>124.30%</v>
      </c>
      <c r="D54" t="str">
        <f t="shared" si="2"/>
        <v>0.92</v>
      </c>
      <c r="E54" t="str">
        <f t="shared" si="3"/>
        <v>3144830.159</v>
      </c>
      <c r="G54" t="str">
        <f t="shared" si="4"/>
        <v>1.15</v>
      </c>
      <c r="H54" t="str">
        <f t="shared" si="5"/>
        <v>3144830.159</v>
      </c>
      <c r="J54" t="str">
        <f t="shared" si="6"/>
        <v>no</v>
      </c>
      <c r="K54" t="str">
        <f t="shared" si="7"/>
        <v>1.3</v>
      </c>
    </row>
    <row r="55" ht="15.75" customHeight="1">
      <c r="B55" t="str">
        <f t="shared" si="1"/>
        <v>2756634.921</v>
      </c>
      <c r="C55" s="5" t="str">
        <f t="shared" si="8"/>
        <v>125.30%</v>
      </c>
      <c r="D55" t="str">
        <f t="shared" si="2"/>
        <v>1.08</v>
      </c>
      <c r="E55" t="str">
        <f t="shared" si="3"/>
        <v>3611191.746</v>
      </c>
      <c r="G55" t="str">
        <f t="shared" si="4"/>
        <v>1.15</v>
      </c>
      <c r="H55" t="str">
        <f t="shared" si="5"/>
        <v>3170130.159</v>
      </c>
      <c r="J55" t="str">
        <f t="shared" si="6"/>
        <v>no</v>
      </c>
      <c r="K55" t="str">
        <f t="shared" si="7"/>
        <v>1.3</v>
      </c>
    </row>
    <row r="56" ht="15.75" customHeight="1">
      <c r="B56" t="str">
        <f t="shared" si="1"/>
        <v>2778634.921</v>
      </c>
      <c r="C56" s="5" t="str">
        <f t="shared" si="8"/>
        <v>126.30%</v>
      </c>
      <c r="D56" t="str">
        <f t="shared" si="2"/>
        <v>1.08</v>
      </c>
      <c r="E56" t="str">
        <f t="shared" si="3"/>
        <v>3640011.746</v>
      </c>
      <c r="G56" t="str">
        <f t="shared" si="4"/>
        <v>1.15</v>
      </c>
      <c r="H56" t="str">
        <f t="shared" si="5"/>
        <v>3195430.159</v>
      </c>
      <c r="J56" t="str">
        <f t="shared" si="6"/>
        <v>no</v>
      </c>
      <c r="K56" t="str">
        <f t="shared" si="7"/>
        <v>1.3</v>
      </c>
    </row>
    <row r="57" ht="15.75" customHeight="1">
      <c r="B57" t="str">
        <f t="shared" si="1"/>
        <v>2800634.921</v>
      </c>
      <c r="C57" s="5" t="str">
        <f t="shared" si="8"/>
        <v>127.30%</v>
      </c>
      <c r="D57" t="str">
        <f t="shared" si="2"/>
        <v>1.08</v>
      </c>
      <c r="E57" t="str">
        <f t="shared" si="3"/>
        <v>3668831.746</v>
      </c>
      <c r="G57" t="str">
        <f t="shared" si="4"/>
        <v>1.15</v>
      </c>
      <c r="H57" t="str">
        <f t="shared" si="5"/>
        <v>3220730.159</v>
      </c>
      <c r="J57" t="str">
        <f t="shared" si="6"/>
        <v>no</v>
      </c>
      <c r="K57" t="str">
        <f t="shared" si="7"/>
        <v>1.3</v>
      </c>
    </row>
    <row r="58" ht="15.75" customHeight="1">
      <c r="B58" t="str">
        <f t="shared" si="1"/>
        <v>2822634.921</v>
      </c>
      <c r="C58" s="5" t="str">
        <f t="shared" si="8"/>
        <v>128.30%</v>
      </c>
      <c r="D58" t="str">
        <f t="shared" si="2"/>
        <v>1.08</v>
      </c>
      <c r="E58" t="str">
        <f t="shared" si="3"/>
        <v>3697651.746</v>
      </c>
      <c r="G58" t="str">
        <f t="shared" si="4"/>
        <v>1.15</v>
      </c>
      <c r="H58" t="str">
        <f t="shared" si="5"/>
        <v>3246030.159</v>
      </c>
      <c r="J58" t="str">
        <f t="shared" si="6"/>
        <v>no</v>
      </c>
      <c r="K58" t="str">
        <f t="shared" si="7"/>
        <v>1.3</v>
      </c>
    </row>
    <row r="59" ht="15.75" customHeight="1">
      <c r="B59" t="str">
        <f t="shared" si="1"/>
        <v>2844634.921</v>
      </c>
      <c r="C59" s="5" t="str">
        <f t="shared" si="8"/>
        <v>129.30%</v>
      </c>
      <c r="D59" t="str">
        <f t="shared" si="2"/>
        <v>1.08</v>
      </c>
      <c r="E59" t="str">
        <f t="shared" si="3"/>
        <v>3726471.746</v>
      </c>
      <c r="G59" t="str">
        <f t="shared" si="4"/>
        <v>1.15</v>
      </c>
      <c r="H59" t="str">
        <f t="shared" si="5"/>
        <v>3271330.159</v>
      </c>
      <c r="J59" t="str">
        <f t="shared" si="6"/>
        <v>no</v>
      </c>
      <c r="K59" t="str">
        <f t="shared" si="7"/>
        <v>1.3</v>
      </c>
    </row>
    <row r="60" ht="15.75" customHeight="1">
      <c r="B60" t="str">
        <f t="shared" si="1"/>
        <v>2866634.921</v>
      </c>
      <c r="C60" s="5" t="str">
        <f t="shared" si="8"/>
        <v>130.30%</v>
      </c>
      <c r="D60" t="str">
        <f t="shared" si="2"/>
        <v>1.08</v>
      </c>
      <c r="E60" t="str">
        <f t="shared" si="3"/>
        <v>3755291.746</v>
      </c>
      <c r="G60" t="str">
        <f t="shared" si="4"/>
        <v>1.31</v>
      </c>
      <c r="H60" t="str">
        <f t="shared" si="5"/>
        <v>3755291.746</v>
      </c>
      <c r="J60" t="str">
        <f t="shared" si="6"/>
        <v>no</v>
      </c>
      <c r="K60" t="str">
        <f t="shared" si="7"/>
        <v>1.46</v>
      </c>
    </row>
    <row r="61" ht="15.75" customHeight="1">
      <c r="B61" t="str">
        <f t="shared" si="1"/>
        <v>2888634.921</v>
      </c>
      <c r="C61" s="5" t="str">
        <f t="shared" si="8"/>
        <v>131.30%</v>
      </c>
      <c r="D61" t="str">
        <f t="shared" si="2"/>
        <v>1.08</v>
      </c>
      <c r="E61" t="str">
        <f t="shared" si="3"/>
        <v>3784111.746</v>
      </c>
      <c r="G61" t="str">
        <f t="shared" si="4"/>
        <v>1.31</v>
      </c>
      <c r="H61" t="str">
        <f t="shared" si="5"/>
        <v>3784111.746</v>
      </c>
      <c r="J61" t="str">
        <f t="shared" si="6"/>
        <v>no</v>
      </c>
      <c r="K61" t="str">
        <f t="shared" si="7"/>
        <v>1.46</v>
      </c>
    </row>
    <row r="62" ht="15.75" customHeight="1">
      <c r="B62" t="str">
        <f t="shared" si="1"/>
        <v>2910634.921</v>
      </c>
      <c r="C62" s="5" t="str">
        <f t="shared" si="8"/>
        <v>132.30%</v>
      </c>
      <c r="D62" t="str">
        <f t="shared" si="2"/>
        <v>1.08</v>
      </c>
      <c r="E62" t="str">
        <f t="shared" si="3"/>
        <v>3812931.746</v>
      </c>
      <c r="G62" t="str">
        <f t="shared" si="4"/>
        <v>1.31</v>
      </c>
      <c r="H62" t="str">
        <f t="shared" si="5"/>
        <v>3812931.746</v>
      </c>
      <c r="J62" t="str">
        <f t="shared" si="6"/>
        <v>no</v>
      </c>
      <c r="K62" t="str">
        <f t="shared" si="7"/>
        <v>1.46</v>
      </c>
    </row>
    <row r="63" ht="15.75" customHeight="1">
      <c r="B63" t="str">
        <f t="shared" si="1"/>
        <v>2932634.921</v>
      </c>
      <c r="C63" s="5" t="str">
        <f t="shared" si="8"/>
        <v>133.30%</v>
      </c>
      <c r="D63" t="str">
        <f t="shared" si="2"/>
        <v>1.08</v>
      </c>
      <c r="E63" t="str">
        <f t="shared" si="3"/>
        <v>3841751.746</v>
      </c>
      <c r="G63" t="str">
        <f t="shared" si="4"/>
        <v>1.31</v>
      </c>
      <c r="H63" t="str">
        <f t="shared" si="5"/>
        <v>3841751.746</v>
      </c>
      <c r="J63" t="str">
        <f t="shared" si="6"/>
        <v>no</v>
      </c>
      <c r="K63" t="str">
        <f t="shared" si="7"/>
        <v>1.46</v>
      </c>
    </row>
    <row r="64" ht="15.75" customHeight="1">
      <c r="B64" t="str">
        <f t="shared" si="1"/>
        <v>2954634.921</v>
      </c>
      <c r="C64" s="5" t="str">
        <f t="shared" si="8"/>
        <v>134.30%</v>
      </c>
      <c r="D64" t="str">
        <f t="shared" si="2"/>
        <v>1.08</v>
      </c>
      <c r="E64" t="str">
        <f t="shared" si="3"/>
        <v>3870571.746</v>
      </c>
      <c r="G64" t="str">
        <f t="shared" si="4"/>
        <v>1.31</v>
      </c>
      <c r="H64" t="str">
        <f t="shared" si="5"/>
        <v>3870571.746</v>
      </c>
      <c r="J64" t="str">
        <f t="shared" si="6"/>
        <v>no</v>
      </c>
      <c r="K64" t="str">
        <f t="shared" si="7"/>
        <v>1.46</v>
      </c>
    </row>
    <row r="65" ht="15.75" customHeight="1">
      <c r="B65" t="str">
        <f t="shared" si="1"/>
        <v>2976634.921</v>
      </c>
      <c r="C65" s="5" t="str">
        <f t="shared" si="8"/>
        <v>135.30%</v>
      </c>
      <c r="D65" t="str">
        <f t="shared" si="2"/>
        <v>1.08</v>
      </c>
      <c r="E65" t="str">
        <f t="shared" si="3"/>
        <v>3899391.746</v>
      </c>
      <c r="G65" t="str">
        <f t="shared" si="4"/>
        <v>1.31</v>
      </c>
      <c r="H65" t="str">
        <f t="shared" si="5"/>
        <v>3899391.746</v>
      </c>
      <c r="J65" t="str">
        <f t="shared" si="6"/>
        <v>no</v>
      </c>
      <c r="K65" t="str">
        <f t="shared" si="7"/>
        <v>1.46</v>
      </c>
    </row>
    <row r="66" ht="15.75" customHeight="1">
      <c r="B66" t="str">
        <f t="shared" si="1"/>
        <v>2998634.921</v>
      </c>
      <c r="C66" s="5" t="str">
        <f t="shared" si="8"/>
        <v>136.30%</v>
      </c>
      <c r="D66" t="str">
        <f t="shared" si="2"/>
        <v>1.08</v>
      </c>
      <c r="E66" t="str">
        <f t="shared" si="3"/>
        <v>3928211.746</v>
      </c>
      <c r="G66" t="str">
        <f t="shared" si="4"/>
        <v>1.31</v>
      </c>
      <c r="H66" t="str">
        <f t="shared" si="5"/>
        <v>3928211.746</v>
      </c>
      <c r="J66" t="str">
        <f t="shared" si="6"/>
        <v>no</v>
      </c>
      <c r="K66" t="str">
        <f t="shared" si="7"/>
        <v>1.46</v>
      </c>
    </row>
    <row r="67" ht="15.75" customHeight="1">
      <c r="B67" t="str">
        <f t="shared" si="1"/>
        <v>3020634.921</v>
      </c>
      <c r="C67" s="5" t="str">
        <f t="shared" si="8"/>
        <v>137.30%</v>
      </c>
      <c r="D67" t="str">
        <f t="shared" si="2"/>
        <v>1.08</v>
      </c>
      <c r="E67" t="str">
        <f t="shared" si="3"/>
        <v>3957031.746</v>
      </c>
      <c r="G67" t="str">
        <f t="shared" si="4"/>
        <v>1.31</v>
      </c>
      <c r="H67" t="str">
        <f t="shared" si="5"/>
        <v>3957031.746</v>
      </c>
      <c r="J67" t="str">
        <f t="shared" si="6"/>
        <v>no</v>
      </c>
      <c r="K67" t="str">
        <f t="shared" si="7"/>
        <v>1.46</v>
      </c>
    </row>
    <row r="68" ht="15.75" customHeight="1">
      <c r="B68" t="str">
        <f t="shared" si="1"/>
        <v>3042634.921</v>
      </c>
      <c r="C68" s="5" t="str">
        <f t="shared" si="8"/>
        <v>138.30%</v>
      </c>
      <c r="D68" t="str">
        <f t="shared" si="2"/>
        <v>1.08</v>
      </c>
      <c r="E68" t="str">
        <f t="shared" si="3"/>
        <v>3985851.746</v>
      </c>
      <c r="G68" t="str">
        <f t="shared" si="4"/>
        <v>1.31</v>
      </c>
      <c r="H68" t="str">
        <f t="shared" si="5"/>
        <v>3985851.746</v>
      </c>
      <c r="J68" t="str">
        <f t="shared" si="6"/>
        <v>no</v>
      </c>
      <c r="K68" t="str">
        <f t="shared" si="7"/>
        <v>1.46</v>
      </c>
    </row>
    <row r="69" ht="15.75" customHeight="1">
      <c r="B69" t="str">
        <f t="shared" si="1"/>
        <v>3064634.921</v>
      </c>
      <c r="C69" s="5" t="str">
        <f t="shared" si="8"/>
        <v>139.30%</v>
      </c>
      <c r="D69" t="str">
        <f t="shared" si="2"/>
        <v>1.08</v>
      </c>
      <c r="E69" t="str">
        <f t="shared" si="3"/>
        <v>4014671.746</v>
      </c>
      <c r="G69" t="str">
        <f t="shared" si="4"/>
        <v>1.31</v>
      </c>
      <c r="H69" t="str">
        <f t="shared" si="5"/>
        <v>4014671.746</v>
      </c>
      <c r="J69" t="str">
        <f t="shared" si="6"/>
        <v>si</v>
      </c>
      <c r="K69" t="str">
        <f t="shared" si="7"/>
        <v>1.46</v>
      </c>
    </row>
    <row r="70" ht="15.75" customHeight="1">
      <c r="B70" t="str">
        <f t="shared" si="1"/>
        <v>3086634.921</v>
      </c>
      <c r="C70" s="5" t="str">
        <f t="shared" si="8"/>
        <v>140.30%</v>
      </c>
      <c r="D70" t="str">
        <f t="shared" si="2"/>
        <v>1.08</v>
      </c>
      <c r="E70" t="str">
        <f t="shared" si="3"/>
        <v>4043491.746</v>
      </c>
      <c r="G70" t="str">
        <f t="shared" si="4"/>
        <v>1.31</v>
      </c>
      <c r="H70" t="str">
        <f t="shared" si="5"/>
        <v>4043491.746</v>
      </c>
      <c r="J70" t="str">
        <f t="shared" si="6"/>
        <v>si</v>
      </c>
      <c r="K70" t="str">
        <f t="shared" si="7"/>
        <v>1.46</v>
      </c>
    </row>
    <row r="71" ht="15.75" customHeight="1">
      <c r="B71" t="str">
        <f t="shared" si="1"/>
        <v>3108634.921</v>
      </c>
      <c r="C71" s="5" t="str">
        <f t="shared" si="8"/>
        <v>141.30%</v>
      </c>
      <c r="D71" t="str">
        <f t="shared" si="2"/>
        <v>1.08</v>
      </c>
      <c r="E71" t="str">
        <f t="shared" si="3"/>
        <v>4072311.746</v>
      </c>
      <c r="G71" t="str">
        <f t="shared" si="4"/>
        <v>1.31</v>
      </c>
      <c r="H71" t="str">
        <f t="shared" si="5"/>
        <v>4072311.746</v>
      </c>
      <c r="J71" t="str">
        <f t="shared" si="6"/>
        <v>si</v>
      </c>
      <c r="K71" t="str">
        <f t="shared" si="7"/>
        <v>1.46</v>
      </c>
    </row>
    <row r="72" ht="15.75" customHeight="1">
      <c r="B72" t="str">
        <f t="shared" si="1"/>
        <v>3130634.921</v>
      </c>
      <c r="C72" s="5" t="str">
        <f t="shared" si="8"/>
        <v>142.30%</v>
      </c>
      <c r="D72" t="str">
        <f t="shared" si="2"/>
        <v>1.08</v>
      </c>
      <c r="E72" t="str">
        <f t="shared" si="3"/>
        <v>4101131.746</v>
      </c>
      <c r="G72" t="str">
        <f t="shared" si="4"/>
        <v>1.31</v>
      </c>
      <c r="H72" t="str">
        <f t="shared" si="5"/>
        <v>4101131.746</v>
      </c>
      <c r="J72" t="str">
        <f t="shared" si="6"/>
        <v>si</v>
      </c>
      <c r="K72" t="str">
        <f t="shared" si="7"/>
        <v>1.46</v>
      </c>
    </row>
    <row r="73" ht="15.75" customHeight="1">
      <c r="B73" t="str">
        <f t="shared" si="1"/>
        <v>3152634.921</v>
      </c>
      <c r="C73" s="5" t="str">
        <f t="shared" si="8"/>
        <v>143.30%</v>
      </c>
      <c r="D73" t="str">
        <f t="shared" si="2"/>
        <v>1.08</v>
      </c>
      <c r="E73" t="str">
        <f t="shared" si="3"/>
        <v>4129951.746</v>
      </c>
      <c r="G73" t="str">
        <f t="shared" si="4"/>
        <v>1.31</v>
      </c>
      <c r="H73" t="str">
        <f t="shared" si="5"/>
        <v>4129951.746</v>
      </c>
      <c r="J73" t="str">
        <f t="shared" si="6"/>
        <v>si</v>
      </c>
      <c r="K73" t="str">
        <f t="shared" si="7"/>
        <v>1.46</v>
      </c>
    </row>
    <row r="74" ht="15.75" customHeight="1">
      <c r="B74" t="str">
        <f t="shared" si="1"/>
        <v>3174634.921</v>
      </c>
      <c r="C74" s="5" t="str">
        <f t="shared" si="8"/>
        <v>144.30%</v>
      </c>
      <c r="D74" t="str">
        <f t="shared" si="2"/>
        <v>1.08</v>
      </c>
      <c r="E74" t="str">
        <f t="shared" si="3"/>
        <v>4158771.746</v>
      </c>
      <c r="G74" t="str">
        <f t="shared" si="4"/>
        <v>1.31</v>
      </c>
      <c r="H74" t="str">
        <f t="shared" si="5"/>
        <v>4158771.746</v>
      </c>
      <c r="J74" t="str">
        <f t="shared" si="6"/>
        <v>si</v>
      </c>
      <c r="K74" t="str">
        <f t="shared" si="7"/>
        <v>1.46</v>
      </c>
    </row>
    <row r="75" ht="15.75" customHeight="1">
      <c r="B75" t="str">
        <f t="shared" si="1"/>
        <v>3196634.921</v>
      </c>
      <c r="C75" s="5" t="str">
        <f t="shared" si="8"/>
        <v>145.30%</v>
      </c>
      <c r="D75" t="str">
        <f t="shared" si="2"/>
        <v>1.08</v>
      </c>
      <c r="E75" t="str">
        <f t="shared" si="3"/>
        <v>4187591.746</v>
      </c>
      <c r="G75" t="str">
        <f t="shared" si="4"/>
        <v>1.31</v>
      </c>
      <c r="H75" t="str">
        <f t="shared" si="5"/>
        <v>4187591.746</v>
      </c>
      <c r="J75" t="str">
        <f t="shared" si="6"/>
        <v>si</v>
      </c>
      <c r="K75" t="str">
        <f t="shared" si="7"/>
        <v>1.46</v>
      </c>
    </row>
    <row r="76" ht="15.75" customHeight="1">
      <c r="B76" t="str">
        <f t="shared" si="1"/>
        <v>3218634.921</v>
      </c>
      <c r="C76" s="5" t="str">
        <f t="shared" si="8"/>
        <v>146.30%</v>
      </c>
      <c r="D76" t="str">
        <f t="shared" si="2"/>
        <v>1.08</v>
      </c>
      <c r="E76" t="str">
        <f t="shared" si="3"/>
        <v>4216411.746</v>
      </c>
      <c r="G76" t="str">
        <f t="shared" si="4"/>
        <v>1.31</v>
      </c>
      <c r="H76" t="str">
        <f t="shared" si="5"/>
        <v>4216411.746</v>
      </c>
      <c r="J76" t="str">
        <f t="shared" si="6"/>
        <v>si</v>
      </c>
      <c r="K76" t="str">
        <f t="shared" si="7"/>
        <v>1.46</v>
      </c>
    </row>
    <row r="77" ht="15.75" customHeight="1">
      <c r="B77" t="str">
        <f t="shared" si="1"/>
        <v>3240634.921</v>
      </c>
      <c r="C77" s="5" t="str">
        <f t="shared" si="8"/>
        <v>147.30%</v>
      </c>
      <c r="D77" t="str">
        <f t="shared" si="2"/>
        <v>1.08</v>
      </c>
      <c r="E77" t="str">
        <f t="shared" si="3"/>
        <v>4245231.746</v>
      </c>
      <c r="G77" t="str">
        <f t="shared" si="4"/>
        <v>1.31</v>
      </c>
      <c r="H77" t="str">
        <f t="shared" si="5"/>
        <v>4245231.746</v>
      </c>
      <c r="J77" t="str">
        <f t="shared" si="6"/>
        <v>si</v>
      </c>
      <c r="K77" t="str">
        <f t="shared" si="7"/>
        <v>1.46</v>
      </c>
    </row>
    <row r="78" ht="15.75" customHeight="1">
      <c r="B78" t="str">
        <f t="shared" si="1"/>
        <v>3262634.921</v>
      </c>
      <c r="C78" s="5" t="str">
        <f t="shared" si="8"/>
        <v>148.30%</v>
      </c>
      <c r="D78" t="str">
        <f t="shared" si="2"/>
        <v>1.08</v>
      </c>
      <c r="E78" t="str">
        <f t="shared" si="3"/>
        <v>4274051.746</v>
      </c>
      <c r="G78" t="str">
        <f t="shared" si="4"/>
        <v>1.31</v>
      </c>
      <c r="H78" t="str">
        <f t="shared" si="5"/>
        <v>4274051.746</v>
      </c>
      <c r="J78" t="str">
        <f t="shared" si="6"/>
        <v>si</v>
      </c>
      <c r="K78" t="str">
        <f t="shared" si="7"/>
        <v>1.46</v>
      </c>
    </row>
    <row r="79" ht="15.75" customHeight="1">
      <c r="B79" t="str">
        <f t="shared" si="1"/>
        <v>3284634.921</v>
      </c>
      <c r="C79" s="5" t="str">
        <f t="shared" si="8"/>
        <v>149.30%</v>
      </c>
      <c r="D79" t="str">
        <f t="shared" si="2"/>
        <v>1.08</v>
      </c>
      <c r="E79" t="str">
        <f t="shared" si="3"/>
        <v>4302871.746</v>
      </c>
      <c r="G79" t="str">
        <f t="shared" si="4"/>
        <v>1.31</v>
      </c>
      <c r="H79" t="str">
        <f t="shared" si="5"/>
        <v>4302871.746</v>
      </c>
      <c r="J79" t="str">
        <f t="shared" si="6"/>
        <v>si</v>
      </c>
      <c r="K79" t="str">
        <f t="shared" si="7"/>
        <v>1.46</v>
      </c>
    </row>
    <row r="80" ht="15.75" customHeight="1">
      <c r="B80" t="str">
        <f t="shared" si="1"/>
        <v>3306634.921</v>
      </c>
      <c r="C80" s="5" t="str">
        <f t="shared" si="8"/>
        <v>150.30%</v>
      </c>
      <c r="D80" t="str">
        <f t="shared" si="2"/>
        <v>1.08</v>
      </c>
      <c r="E80" t="str">
        <f t="shared" si="3"/>
        <v>4331691.746</v>
      </c>
      <c r="G80" t="str">
        <f t="shared" si="4"/>
        <v>1.31</v>
      </c>
      <c r="H80" t="str">
        <f t="shared" si="5"/>
        <v>4331691.746</v>
      </c>
      <c r="J80" t="str">
        <f t="shared" si="6"/>
        <v>si</v>
      </c>
      <c r="K80" t="str">
        <f t="shared" si="7"/>
        <v>1.46</v>
      </c>
    </row>
    <row r="81" ht="15.75" customHeight="1">
      <c r="B81" t="str">
        <f t="shared" si="1"/>
        <v>3328634.921</v>
      </c>
      <c r="C81" s="5" t="str">
        <f t="shared" si="8"/>
        <v>151.30%</v>
      </c>
      <c r="D81" t="str">
        <f t="shared" si="2"/>
        <v>1.08</v>
      </c>
      <c r="E81" t="str">
        <f t="shared" si="3"/>
        <v>4360511.746</v>
      </c>
      <c r="G81" t="str">
        <f t="shared" si="4"/>
        <v>1.31</v>
      </c>
      <c r="H81" t="str">
        <f t="shared" si="5"/>
        <v>4360511.746</v>
      </c>
      <c r="J81" t="str">
        <f t="shared" si="6"/>
        <v>si</v>
      </c>
      <c r="K81" t="str">
        <f t="shared" si="7"/>
        <v>1.46</v>
      </c>
    </row>
    <row r="82" ht="15.75" customHeight="1">
      <c r="B82" t="str">
        <f t="shared" si="1"/>
        <v>3350634.921</v>
      </c>
      <c r="C82" s="5" t="str">
        <f t="shared" si="8"/>
        <v>152.30%</v>
      </c>
      <c r="D82" t="str">
        <f t="shared" si="2"/>
        <v>1.08</v>
      </c>
      <c r="E82" t="str">
        <f t="shared" si="3"/>
        <v>4389331.746</v>
      </c>
      <c r="G82" t="str">
        <f t="shared" si="4"/>
        <v>1.31</v>
      </c>
      <c r="H82" t="str">
        <f t="shared" si="5"/>
        <v>4389331.746</v>
      </c>
      <c r="J82" t="str">
        <f t="shared" si="6"/>
        <v>si</v>
      </c>
      <c r="K82" t="str">
        <f t="shared" si="7"/>
        <v>1.46</v>
      </c>
    </row>
    <row r="83" ht="15.75" customHeight="1">
      <c r="B83" t="str">
        <f t="shared" si="1"/>
        <v>3372634.921</v>
      </c>
      <c r="C83" s="5" t="str">
        <f t="shared" si="8"/>
        <v>153.30%</v>
      </c>
      <c r="D83" t="str">
        <f t="shared" si="2"/>
        <v>1.08</v>
      </c>
      <c r="E83" t="str">
        <f t="shared" si="3"/>
        <v>4418151.746</v>
      </c>
      <c r="G83" t="str">
        <f t="shared" si="4"/>
        <v>1.31</v>
      </c>
      <c r="H83" t="str">
        <f t="shared" si="5"/>
        <v>4418151.746</v>
      </c>
      <c r="J83" t="str">
        <f t="shared" si="6"/>
        <v>si</v>
      </c>
      <c r="K83" t="str">
        <f t="shared" si="7"/>
        <v>1.46</v>
      </c>
    </row>
    <row r="84" ht="15.75" customHeight="1">
      <c r="B84" t="str">
        <f t="shared" si="1"/>
        <v>3394634.921</v>
      </c>
      <c r="C84" s="5" t="str">
        <f t="shared" si="8"/>
        <v>154.30%</v>
      </c>
      <c r="D84" t="str">
        <f t="shared" si="2"/>
        <v>1.08</v>
      </c>
      <c r="E84" t="str">
        <f t="shared" si="3"/>
        <v>4446971.746</v>
      </c>
      <c r="G84" t="str">
        <f t="shared" si="4"/>
        <v>1.31</v>
      </c>
      <c r="H84" t="str">
        <f t="shared" si="5"/>
        <v>4446971.746</v>
      </c>
      <c r="J84" t="str">
        <f t="shared" si="6"/>
        <v>si</v>
      </c>
      <c r="K84" t="str">
        <f t="shared" si="7"/>
        <v>1.46</v>
      </c>
    </row>
    <row r="85" ht="15.75" customHeight="1">
      <c r="B85" t="str">
        <f t="shared" si="1"/>
        <v>3416634.921</v>
      </c>
      <c r="C85" s="5" t="str">
        <f t="shared" si="8"/>
        <v>155.30%</v>
      </c>
      <c r="D85" t="str">
        <f t="shared" si="2"/>
        <v>1.08</v>
      </c>
      <c r="E85" t="str">
        <f t="shared" si="3"/>
        <v>4475791.746</v>
      </c>
      <c r="G85" t="str">
        <f t="shared" si="4"/>
        <v>1.31</v>
      </c>
      <c r="H85" t="str">
        <f t="shared" si="5"/>
        <v>4475791.746</v>
      </c>
      <c r="J85" t="str">
        <f t="shared" si="6"/>
        <v>si</v>
      </c>
      <c r="K85" t="str">
        <f t="shared" si="7"/>
        <v>1.46</v>
      </c>
    </row>
    <row r="86" ht="15.75" customHeight="1">
      <c r="B86" t="str">
        <f t="shared" si="1"/>
        <v>3438634.921</v>
      </c>
      <c r="C86" s="5" t="str">
        <f t="shared" si="8"/>
        <v>156.30%</v>
      </c>
      <c r="D86" t="str">
        <f t="shared" si="2"/>
        <v>1.08</v>
      </c>
      <c r="E86" t="str">
        <f t="shared" si="3"/>
        <v>4504611.746</v>
      </c>
      <c r="G86" t="str">
        <f t="shared" si="4"/>
        <v>1.31</v>
      </c>
      <c r="H86" t="str">
        <f t="shared" si="5"/>
        <v>4504611.746</v>
      </c>
      <c r="J86" t="str">
        <f t="shared" si="6"/>
        <v>si</v>
      </c>
      <c r="K86" t="str">
        <f t="shared" si="7"/>
        <v>1.46</v>
      </c>
    </row>
    <row r="87" ht="15.75" customHeight="1">
      <c r="B87" t="str">
        <f t="shared" si="1"/>
        <v>3460634.921</v>
      </c>
      <c r="C87" s="5" t="str">
        <f t="shared" si="8"/>
        <v>157.30%</v>
      </c>
      <c r="D87" t="str">
        <f t="shared" si="2"/>
        <v>1.08</v>
      </c>
      <c r="E87" t="str">
        <f t="shared" si="3"/>
        <v>4533431.746</v>
      </c>
      <c r="G87" t="str">
        <f t="shared" si="4"/>
        <v>1.31</v>
      </c>
      <c r="H87" t="str">
        <f t="shared" si="5"/>
        <v>4533431.746</v>
      </c>
      <c r="J87" t="str">
        <f t="shared" si="6"/>
        <v>si</v>
      </c>
      <c r="K87" t="str">
        <f t="shared" si="7"/>
        <v>1.46</v>
      </c>
    </row>
    <row r="88" ht="15.75" customHeight="1">
      <c r="B88" t="str">
        <f t="shared" si="1"/>
        <v>3482634.921</v>
      </c>
      <c r="C88" s="5" t="str">
        <f t="shared" si="8"/>
        <v>158.30%</v>
      </c>
      <c r="D88" t="str">
        <f t="shared" si="2"/>
        <v>1.08</v>
      </c>
      <c r="E88" t="str">
        <f t="shared" si="3"/>
        <v>4562251.746</v>
      </c>
      <c r="G88" t="str">
        <f t="shared" si="4"/>
        <v>1.31</v>
      </c>
      <c r="H88" t="str">
        <f t="shared" si="5"/>
        <v>4562251.746</v>
      </c>
      <c r="J88" t="str">
        <f t="shared" si="6"/>
        <v>si</v>
      </c>
      <c r="K88" t="str">
        <f t="shared" si="7"/>
        <v>1.46</v>
      </c>
    </row>
    <row r="89" ht="15.75" customHeight="1">
      <c r="B89" t="str">
        <f t="shared" si="1"/>
        <v>3504634.921</v>
      </c>
      <c r="C89" s="5" t="str">
        <f t="shared" si="8"/>
        <v>159.30%</v>
      </c>
      <c r="D89" t="str">
        <f t="shared" si="2"/>
        <v>1.08</v>
      </c>
      <c r="E89" t="str">
        <f t="shared" si="3"/>
        <v>4591071.746</v>
      </c>
      <c r="G89" t="str">
        <f t="shared" si="4"/>
        <v>1.31</v>
      </c>
      <c r="H89" t="str">
        <f t="shared" si="5"/>
        <v>4591071.746</v>
      </c>
      <c r="J89" t="str">
        <f t="shared" si="6"/>
        <v>si</v>
      </c>
      <c r="K89" t="str">
        <f t="shared" si="7"/>
        <v>1.46</v>
      </c>
    </row>
    <row r="90" ht="15.75" customHeight="1">
      <c r="B90" t="str">
        <f t="shared" si="1"/>
        <v>3526634.921</v>
      </c>
      <c r="C90" s="5" t="str">
        <f t="shared" si="8"/>
        <v>160.30%</v>
      </c>
      <c r="D90" t="str">
        <f t="shared" si="2"/>
        <v>1.08</v>
      </c>
      <c r="E90" t="str">
        <f t="shared" si="3"/>
        <v>4619891.746</v>
      </c>
      <c r="G90" t="str">
        <f t="shared" si="4"/>
        <v>1.51</v>
      </c>
      <c r="H90" t="str">
        <f t="shared" si="5"/>
        <v>5325218.73</v>
      </c>
      <c r="J90" t="str">
        <f t="shared" si="6"/>
        <v>si</v>
      </c>
      <c r="K90" t="str">
        <f t="shared" si="7"/>
        <v>1.66</v>
      </c>
    </row>
    <row r="91" ht="15.75" customHeight="1">
      <c r="B91" t="str">
        <f t="shared" si="1"/>
        <v>3548634.921</v>
      </c>
      <c r="C91" s="5" t="str">
        <f t="shared" si="8"/>
        <v>161.30%</v>
      </c>
      <c r="D91" t="str">
        <f t="shared" si="2"/>
        <v>1.08</v>
      </c>
      <c r="E91" t="str">
        <f t="shared" si="3"/>
        <v>4648711.746</v>
      </c>
      <c r="G91" t="str">
        <f t="shared" si="4"/>
        <v>1.51</v>
      </c>
      <c r="H91" t="str">
        <f t="shared" si="5"/>
        <v>5358438.73</v>
      </c>
      <c r="J91" t="str">
        <f t="shared" si="6"/>
        <v>si</v>
      </c>
      <c r="K91" t="str">
        <f t="shared" si="7"/>
        <v>1.66</v>
      </c>
    </row>
    <row r="92" ht="15.75" customHeight="1">
      <c r="B92" t="str">
        <f t="shared" si="1"/>
        <v>3570634.921</v>
      </c>
      <c r="C92" s="5" t="str">
        <f t="shared" si="8"/>
        <v>162.30%</v>
      </c>
      <c r="D92" t="str">
        <f t="shared" si="2"/>
        <v>1.08</v>
      </c>
      <c r="E92" t="str">
        <f t="shared" si="3"/>
        <v>4677531.746</v>
      </c>
      <c r="G92" t="str">
        <f t="shared" si="4"/>
        <v>1.51</v>
      </c>
      <c r="H92" t="str">
        <f t="shared" si="5"/>
        <v>5391658.73</v>
      </c>
      <c r="J92" t="str">
        <f t="shared" si="6"/>
        <v>si</v>
      </c>
      <c r="K92" t="str">
        <f t="shared" si="7"/>
        <v>1.66</v>
      </c>
    </row>
    <row r="93" ht="15.75" customHeight="1">
      <c r="B93" t="str">
        <f t="shared" si="1"/>
        <v>3592634.921</v>
      </c>
      <c r="C93" s="5" t="str">
        <f t="shared" si="8"/>
        <v>163.30%</v>
      </c>
      <c r="D93" t="str">
        <f t="shared" si="2"/>
        <v>1.28</v>
      </c>
      <c r="E93" t="str">
        <f t="shared" si="3"/>
        <v>5424878.73</v>
      </c>
      <c r="G93" t="str">
        <f t="shared" si="4"/>
        <v>1.51</v>
      </c>
      <c r="H93" t="str">
        <f t="shared" si="5"/>
        <v>5424878.73</v>
      </c>
      <c r="J93" t="str">
        <f t="shared" si="6"/>
        <v>si</v>
      </c>
      <c r="K93" t="str">
        <f t="shared" si="7"/>
        <v>1.66</v>
      </c>
    </row>
    <row r="94" ht="15.75" customHeight="1">
      <c r="B94" t="str">
        <f t="shared" si="1"/>
        <v>3614634.921</v>
      </c>
      <c r="C94" s="5" t="str">
        <f t="shared" si="8"/>
        <v>164.30%</v>
      </c>
      <c r="D94" t="str">
        <f t="shared" si="2"/>
        <v>1.28</v>
      </c>
      <c r="E94" t="str">
        <f t="shared" si="3"/>
        <v>5458098.73</v>
      </c>
      <c r="G94" t="str">
        <f t="shared" si="4"/>
        <v>1.51</v>
      </c>
      <c r="H94" t="str">
        <f t="shared" si="5"/>
        <v>5458098.73</v>
      </c>
      <c r="J94" t="str">
        <f t="shared" si="6"/>
        <v>si</v>
      </c>
      <c r="K94" t="str">
        <f t="shared" si="7"/>
        <v>1.66</v>
      </c>
    </row>
    <row r="95" ht="15.75" customHeight="1">
      <c r="B95" t="str">
        <f t="shared" si="1"/>
        <v>3636634.921</v>
      </c>
      <c r="C95" s="5" t="str">
        <f t="shared" si="8"/>
        <v>165.30%</v>
      </c>
      <c r="D95" t="str">
        <f t="shared" si="2"/>
        <v>1.28</v>
      </c>
      <c r="E95" t="str">
        <f t="shared" si="3"/>
        <v>5491318.73</v>
      </c>
      <c r="G95" t="str">
        <f t="shared" si="4"/>
        <v>1.51</v>
      </c>
      <c r="H95" t="str">
        <f t="shared" si="5"/>
        <v>5491318.73</v>
      </c>
      <c r="J95" t="str">
        <f t="shared" si="6"/>
        <v>si</v>
      </c>
      <c r="K95" t="str">
        <f t="shared" si="7"/>
        <v>1.66</v>
      </c>
    </row>
    <row r="96" ht="15.75" customHeight="1">
      <c r="B96" t="str">
        <f t="shared" si="1"/>
        <v>3658634.921</v>
      </c>
      <c r="C96" s="5" t="str">
        <f t="shared" si="8"/>
        <v>166.30%</v>
      </c>
      <c r="D96" t="str">
        <f t="shared" si="2"/>
        <v>1.28</v>
      </c>
      <c r="E96" t="str">
        <f t="shared" si="3"/>
        <v>5524538.73</v>
      </c>
      <c r="G96" t="str">
        <f t="shared" si="4"/>
        <v>1.51</v>
      </c>
      <c r="H96" t="str">
        <f t="shared" si="5"/>
        <v>5524538.73</v>
      </c>
      <c r="J96" t="str">
        <f t="shared" si="6"/>
        <v>si</v>
      </c>
      <c r="K96" t="str">
        <f t="shared" si="7"/>
        <v>1.66</v>
      </c>
    </row>
    <row r="97" ht="15.75" customHeight="1">
      <c r="B97" t="str">
        <f t="shared" si="1"/>
        <v>3680634.921</v>
      </c>
      <c r="C97" s="5" t="str">
        <f t="shared" si="8"/>
        <v>167.30%</v>
      </c>
      <c r="D97" t="str">
        <f t="shared" si="2"/>
        <v>1.28</v>
      </c>
      <c r="E97" t="str">
        <f t="shared" si="3"/>
        <v>5557758.73</v>
      </c>
      <c r="G97" t="str">
        <f t="shared" si="4"/>
        <v>1.51</v>
      </c>
      <c r="H97" t="str">
        <f t="shared" si="5"/>
        <v>5557758.73</v>
      </c>
      <c r="J97" t="str">
        <f t="shared" si="6"/>
        <v>si</v>
      </c>
      <c r="K97" t="str">
        <f t="shared" si="7"/>
        <v>1.66</v>
      </c>
    </row>
    <row r="98" ht="15.75" customHeight="1">
      <c r="B98" t="str">
        <f t="shared" si="1"/>
        <v>3702634.921</v>
      </c>
      <c r="C98" s="5" t="str">
        <f t="shared" si="8"/>
        <v>168.30%</v>
      </c>
      <c r="D98" t="str">
        <f t="shared" si="2"/>
        <v>1.28</v>
      </c>
      <c r="E98" t="str">
        <f t="shared" si="3"/>
        <v>5590978.73</v>
      </c>
      <c r="G98" t="str">
        <f t="shared" si="4"/>
        <v>1.51</v>
      </c>
      <c r="H98" t="str">
        <f t="shared" si="5"/>
        <v>5590978.73</v>
      </c>
      <c r="J98" t="str">
        <f t="shared" si="6"/>
        <v>si</v>
      </c>
      <c r="K98" t="str">
        <f t="shared" si="7"/>
        <v>1.66</v>
      </c>
    </row>
    <row r="99" ht="15.75" customHeight="1">
      <c r="B99" t="str">
        <f t="shared" si="1"/>
        <v>3724634.921</v>
      </c>
      <c r="C99" s="5" t="str">
        <f t="shared" si="8"/>
        <v>169.30%</v>
      </c>
      <c r="D99" t="str">
        <f t="shared" si="2"/>
        <v>1.28</v>
      </c>
      <c r="E99" t="str">
        <f t="shared" si="3"/>
        <v>5624198.73</v>
      </c>
      <c r="G99" t="str">
        <f t="shared" si="4"/>
        <v>1.51</v>
      </c>
      <c r="H99" t="str">
        <f t="shared" si="5"/>
        <v>5624198.73</v>
      </c>
      <c r="J99" t="str">
        <f t="shared" si="6"/>
        <v>si</v>
      </c>
      <c r="K99" t="str">
        <f t="shared" si="7"/>
        <v>1.66</v>
      </c>
    </row>
    <row r="100" ht="15.75" customHeight="1">
      <c r="B100" t="str">
        <f t="shared" si="1"/>
        <v>3746634.921</v>
      </c>
      <c r="C100" s="5" t="str">
        <f t="shared" si="8"/>
        <v>170.30%</v>
      </c>
      <c r="D100" t="str">
        <f t="shared" si="2"/>
        <v>1.28</v>
      </c>
      <c r="E100" t="str">
        <f t="shared" si="3"/>
        <v>5657418.73</v>
      </c>
      <c r="G100" t="str">
        <f t="shared" si="4"/>
        <v>1.51</v>
      </c>
      <c r="H100" t="str">
        <f t="shared" si="5"/>
        <v>5657418.73</v>
      </c>
      <c r="J100" t="str">
        <f t="shared" si="6"/>
        <v>si</v>
      </c>
      <c r="K100" t="str">
        <f t="shared" si="7"/>
        <v>1.66</v>
      </c>
    </row>
    <row r="101" ht="15.75" customHeight="1">
      <c r="B101" t="str">
        <f t="shared" si="1"/>
        <v>3768634.921</v>
      </c>
      <c r="C101" s="5" t="str">
        <f t="shared" si="8"/>
        <v>171.30%</v>
      </c>
      <c r="D101" t="str">
        <f t="shared" si="2"/>
        <v>1.28</v>
      </c>
      <c r="E101" t="str">
        <f t="shared" si="3"/>
        <v>5690638.73</v>
      </c>
      <c r="G101" t="str">
        <f t="shared" si="4"/>
        <v>1.51</v>
      </c>
      <c r="H101" t="str">
        <f t="shared" si="5"/>
        <v>5690638.73</v>
      </c>
      <c r="J101" t="str">
        <f t="shared" si="6"/>
        <v>si</v>
      </c>
      <c r="K101" t="str">
        <f t="shared" si="7"/>
        <v>1.66</v>
      </c>
    </row>
    <row r="102" ht="15.75" customHeight="1">
      <c r="B102" t="str">
        <f t="shared" si="1"/>
        <v>3790634.921</v>
      </c>
      <c r="C102" s="5" t="str">
        <f t="shared" si="8"/>
        <v>172.30%</v>
      </c>
      <c r="D102" t="str">
        <f t="shared" si="2"/>
        <v>1.28</v>
      </c>
      <c r="E102" t="str">
        <f t="shared" si="3"/>
        <v>5723858.73</v>
      </c>
      <c r="G102" t="str">
        <f t="shared" si="4"/>
        <v>1.51</v>
      </c>
      <c r="H102" t="str">
        <f t="shared" si="5"/>
        <v>5723858.73</v>
      </c>
      <c r="J102" t="str">
        <f t="shared" si="6"/>
        <v>si</v>
      </c>
      <c r="K102" t="str">
        <f t="shared" si="7"/>
        <v>1.66</v>
      </c>
    </row>
    <row r="103" ht="15.75" customHeight="1">
      <c r="B103" t="str">
        <f t="shared" si="1"/>
        <v>3812634.921</v>
      </c>
      <c r="C103" s="5" t="str">
        <f t="shared" si="8"/>
        <v>173.30%</v>
      </c>
      <c r="D103" t="str">
        <f t="shared" si="2"/>
        <v>1.28</v>
      </c>
      <c r="E103" t="str">
        <f t="shared" si="3"/>
        <v>5757078.73</v>
      </c>
      <c r="G103" t="str">
        <f t="shared" si="4"/>
        <v>1.51</v>
      </c>
      <c r="H103" t="str">
        <f t="shared" si="5"/>
        <v>5757078.73</v>
      </c>
      <c r="J103" t="str">
        <f t="shared" si="6"/>
        <v>si</v>
      </c>
      <c r="K103" t="str">
        <f t="shared" si="7"/>
        <v>1.66</v>
      </c>
    </row>
    <row r="104" ht="15.75" customHeight="1">
      <c r="B104" t="str">
        <f t="shared" si="1"/>
        <v>3834634.921</v>
      </c>
      <c r="C104" s="5" t="str">
        <f t="shared" si="8"/>
        <v>174.30%</v>
      </c>
      <c r="D104" t="str">
        <f t="shared" si="2"/>
        <v>1.28</v>
      </c>
      <c r="E104" t="str">
        <f t="shared" si="3"/>
        <v>5790298.73</v>
      </c>
      <c r="G104" t="str">
        <f t="shared" si="4"/>
        <v>1.51</v>
      </c>
      <c r="H104" t="str">
        <f t="shared" si="5"/>
        <v>5790298.73</v>
      </c>
      <c r="J104" t="str">
        <f t="shared" si="6"/>
        <v>si</v>
      </c>
      <c r="K104" t="str">
        <f t="shared" si="7"/>
        <v>1.66</v>
      </c>
    </row>
    <row r="105" ht="15.75" customHeight="1">
      <c r="B105" t="str">
        <f t="shared" si="1"/>
        <v>3856634.921</v>
      </c>
      <c r="C105" s="5" t="str">
        <f t="shared" si="8"/>
        <v>175.30%</v>
      </c>
      <c r="D105" t="str">
        <f t="shared" si="2"/>
        <v>1.28</v>
      </c>
      <c r="E105" t="str">
        <f t="shared" si="3"/>
        <v>5823518.73</v>
      </c>
      <c r="G105" t="str">
        <f t="shared" si="4"/>
        <v>1.51</v>
      </c>
      <c r="H105" t="str">
        <f t="shared" si="5"/>
        <v>5823518.73</v>
      </c>
      <c r="J105" t="str">
        <f t="shared" si="6"/>
        <v>si</v>
      </c>
      <c r="K105" t="str">
        <f t="shared" si="7"/>
        <v>1.66</v>
      </c>
    </row>
    <row r="106" ht="15.75" customHeight="1">
      <c r="B106" t="str">
        <f t="shared" si="1"/>
        <v>3878634.921</v>
      </c>
      <c r="C106" s="5" t="str">
        <f t="shared" si="8"/>
        <v>176.30%</v>
      </c>
      <c r="D106" t="str">
        <f t="shared" si="2"/>
        <v>1.28</v>
      </c>
      <c r="E106" t="str">
        <f t="shared" si="3"/>
        <v>5856738.73</v>
      </c>
      <c r="G106" t="str">
        <f t="shared" si="4"/>
        <v>1.51</v>
      </c>
      <c r="H106" t="str">
        <f t="shared" si="5"/>
        <v>5856738.73</v>
      </c>
      <c r="J106" t="str">
        <f t="shared" si="6"/>
        <v>si</v>
      </c>
      <c r="K106" t="str">
        <f t="shared" si="7"/>
        <v>1.66</v>
      </c>
    </row>
    <row r="107" ht="15.75" customHeight="1">
      <c r="B107" t="str">
        <f t="shared" si="1"/>
        <v>3900634.921</v>
      </c>
      <c r="C107" s="5" t="str">
        <f t="shared" si="8"/>
        <v>177.30%</v>
      </c>
      <c r="D107" t="str">
        <f t="shared" si="2"/>
        <v>1.28</v>
      </c>
      <c r="E107" t="str">
        <f t="shared" si="3"/>
        <v>5889958.73</v>
      </c>
      <c r="G107" t="str">
        <f t="shared" si="4"/>
        <v>1.51</v>
      </c>
      <c r="H107" t="str">
        <f t="shared" si="5"/>
        <v>5889958.73</v>
      </c>
      <c r="J107" t="str">
        <f t="shared" si="6"/>
        <v>si</v>
      </c>
      <c r="K107" t="str">
        <f t="shared" si="7"/>
        <v>1.66</v>
      </c>
    </row>
    <row r="108" ht="15.75" customHeight="1">
      <c r="B108" t="str">
        <f t="shared" si="1"/>
        <v>3922634.921</v>
      </c>
      <c r="C108" s="5" t="str">
        <f t="shared" si="8"/>
        <v>178.30%</v>
      </c>
      <c r="D108" t="str">
        <f t="shared" si="2"/>
        <v>1.28</v>
      </c>
      <c r="E108" t="str">
        <f t="shared" si="3"/>
        <v>5923178.73</v>
      </c>
      <c r="G108" t="str">
        <f t="shared" si="4"/>
        <v>1.51</v>
      </c>
      <c r="H108" t="str">
        <f t="shared" si="5"/>
        <v>5923178.73</v>
      </c>
      <c r="J108" t="str">
        <f t="shared" si="6"/>
        <v>si</v>
      </c>
      <c r="K108" t="str">
        <f t="shared" si="7"/>
        <v>1.66</v>
      </c>
    </row>
    <row r="109" ht="15.75" customHeight="1">
      <c r="B109" t="str">
        <f t="shared" si="1"/>
        <v>3944634.921</v>
      </c>
      <c r="C109" s="5" t="str">
        <f t="shared" si="8"/>
        <v>179.30%</v>
      </c>
      <c r="D109" t="str">
        <f t="shared" si="2"/>
        <v>1.28</v>
      </c>
      <c r="E109" t="str">
        <f t="shared" si="3"/>
        <v>5956398.73</v>
      </c>
      <c r="G109" t="str">
        <f t="shared" si="4"/>
        <v>1.51</v>
      </c>
      <c r="H109" t="str">
        <f t="shared" si="5"/>
        <v>5956398.73</v>
      </c>
      <c r="J109" t="str">
        <f t="shared" si="6"/>
        <v>si</v>
      </c>
      <c r="K109" t="str">
        <f t="shared" si="7"/>
        <v>1.66</v>
      </c>
    </row>
    <row r="110" ht="15.75" customHeight="1">
      <c r="B110" t="str">
        <f t="shared" si="1"/>
        <v>3966634.921</v>
      </c>
      <c r="C110" s="5" t="str">
        <f t="shared" si="8"/>
        <v>180.30%</v>
      </c>
      <c r="D110" t="str">
        <f t="shared" si="2"/>
        <v>1.28</v>
      </c>
      <c r="E110" t="str">
        <f t="shared" si="3"/>
        <v>5989618.73</v>
      </c>
      <c r="G110" t="str">
        <f t="shared" si="4"/>
        <v>1.51</v>
      </c>
      <c r="H110" t="str">
        <f t="shared" si="5"/>
        <v>5989618.73</v>
      </c>
      <c r="J110" t="str">
        <f t="shared" si="6"/>
        <v>si</v>
      </c>
      <c r="K110" t="str">
        <f t="shared" si="7"/>
        <v>1.66</v>
      </c>
    </row>
    <row r="111" ht="15.75" customHeight="1">
      <c r="B111" t="str">
        <f t="shared" si="1"/>
        <v>3988634.921</v>
      </c>
      <c r="C111" s="5" t="str">
        <f t="shared" si="8"/>
        <v>181.30%</v>
      </c>
      <c r="D111" t="str">
        <f t="shared" si="2"/>
        <v>1.28</v>
      </c>
      <c r="E111" t="str">
        <f t="shared" si="3"/>
        <v>6022838.73</v>
      </c>
      <c r="G111" t="str">
        <f t="shared" si="4"/>
        <v>1.51</v>
      </c>
      <c r="H111" t="str">
        <f t="shared" si="5"/>
        <v>6022838.73</v>
      </c>
      <c r="J111" t="str">
        <f t="shared" si="6"/>
        <v>si</v>
      </c>
      <c r="K111" t="str">
        <f t="shared" si="7"/>
        <v>1.66</v>
      </c>
    </row>
    <row r="112" ht="15.75" customHeight="1">
      <c r="B112" t="str">
        <f t="shared" si="1"/>
        <v>4010634.921</v>
      </c>
      <c r="C112" s="5" t="str">
        <f t="shared" si="8"/>
        <v>182.30%</v>
      </c>
      <c r="D112" t="str">
        <f t="shared" si="2"/>
        <v>1.28</v>
      </c>
      <c r="E112" t="str">
        <f t="shared" si="3"/>
        <v>6056058.73</v>
      </c>
      <c r="G112" t="str">
        <f t="shared" si="4"/>
        <v>1.51</v>
      </c>
      <c r="H112" t="str">
        <f t="shared" si="5"/>
        <v>6056058.73</v>
      </c>
      <c r="J112" t="str">
        <f t="shared" si="6"/>
        <v>si</v>
      </c>
      <c r="K112" t="str">
        <f t="shared" si="7"/>
        <v>1.66</v>
      </c>
    </row>
    <row r="113" ht="15.75" customHeight="1">
      <c r="B113" t="str">
        <f t="shared" si="1"/>
        <v>4032634.921</v>
      </c>
      <c r="C113" s="5" t="str">
        <f t="shared" si="8"/>
        <v>183.30%</v>
      </c>
      <c r="D113" t="str">
        <f t="shared" si="2"/>
        <v>1.28</v>
      </c>
      <c r="E113" t="str">
        <f t="shared" si="3"/>
        <v>6089278.73</v>
      </c>
      <c r="G113" t="str">
        <f t="shared" si="4"/>
        <v>1.51</v>
      </c>
      <c r="H113" t="str">
        <f t="shared" si="5"/>
        <v>6089278.73</v>
      </c>
      <c r="J113" t="str">
        <f t="shared" si="6"/>
        <v>si</v>
      </c>
      <c r="K113" t="str">
        <f t="shared" si="7"/>
        <v>1.66</v>
      </c>
    </row>
    <row r="114" ht="15.75" customHeight="1">
      <c r="B114" t="str">
        <f t="shared" si="1"/>
        <v>4054634.921</v>
      </c>
      <c r="C114" s="5" t="str">
        <f t="shared" si="8"/>
        <v>184.30%</v>
      </c>
      <c r="D114" t="str">
        <f t="shared" si="2"/>
        <v>1.28</v>
      </c>
      <c r="E114" t="str">
        <f t="shared" si="3"/>
        <v>6122498.73</v>
      </c>
      <c r="G114" t="str">
        <f t="shared" si="4"/>
        <v>1.51</v>
      </c>
      <c r="H114" t="str">
        <f t="shared" si="5"/>
        <v>6122498.73</v>
      </c>
      <c r="J114" t="str">
        <f t="shared" si="6"/>
        <v>si</v>
      </c>
      <c r="K114" t="str">
        <f t="shared" si="7"/>
        <v>1.66</v>
      </c>
    </row>
    <row r="115" ht="15.75" customHeight="1">
      <c r="B115" t="str">
        <f t="shared" si="1"/>
        <v>4076634.921</v>
      </c>
      <c r="C115" s="5" t="str">
        <f t="shared" si="8"/>
        <v>185.30%</v>
      </c>
      <c r="D115" t="str">
        <f t="shared" si="2"/>
        <v>1.28</v>
      </c>
      <c r="E115" t="str">
        <f t="shared" si="3"/>
        <v>6155718.73</v>
      </c>
      <c r="G115" t="str">
        <f t="shared" si="4"/>
        <v>1.51</v>
      </c>
      <c r="H115" t="str">
        <f t="shared" si="5"/>
        <v>6155718.73</v>
      </c>
      <c r="J115" t="str">
        <f t="shared" si="6"/>
        <v>si</v>
      </c>
      <c r="K115" t="str">
        <f t="shared" si="7"/>
        <v>1.66</v>
      </c>
    </row>
    <row r="116" ht="15.75" customHeight="1">
      <c r="B116" t="str">
        <f t="shared" si="1"/>
        <v>4098634.921</v>
      </c>
      <c r="C116" s="5" t="str">
        <f t="shared" si="8"/>
        <v>186.30%</v>
      </c>
      <c r="D116" t="str">
        <f t="shared" si="2"/>
        <v>1.28</v>
      </c>
      <c r="E116" t="str">
        <f t="shared" si="3"/>
        <v>6188938.73</v>
      </c>
      <c r="G116" t="str">
        <f t="shared" si="4"/>
        <v>1.51</v>
      </c>
      <c r="H116" t="str">
        <f t="shared" si="5"/>
        <v>6188938.73</v>
      </c>
      <c r="J116" t="str">
        <f t="shared" si="6"/>
        <v>si</v>
      </c>
      <c r="K116" t="str">
        <f t="shared" si="7"/>
        <v>1.66</v>
      </c>
    </row>
    <row r="117" ht="15.75" customHeight="1">
      <c r="B117" t="str">
        <f t="shared" si="1"/>
        <v>4120634.921</v>
      </c>
      <c r="C117" s="5" t="str">
        <f t="shared" si="8"/>
        <v>187.30%</v>
      </c>
      <c r="D117" t="str">
        <f t="shared" si="2"/>
        <v>1.28</v>
      </c>
      <c r="E117" t="str">
        <f t="shared" si="3"/>
        <v>6222158.73</v>
      </c>
      <c r="G117" t="str">
        <f t="shared" si="4"/>
        <v>1.51</v>
      </c>
      <c r="H117" t="str">
        <f t="shared" si="5"/>
        <v>6222158.73</v>
      </c>
      <c r="J117" t="str">
        <f t="shared" si="6"/>
        <v>si</v>
      </c>
      <c r="K117" t="str">
        <f t="shared" si="7"/>
        <v>1.66</v>
      </c>
    </row>
    <row r="118" ht="15.75" customHeight="1">
      <c r="B118" t="str">
        <f t="shared" si="1"/>
        <v>4142634.921</v>
      </c>
      <c r="C118" s="5" t="str">
        <f t="shared" si="8"/>
        <v>188.30%</v>
      </c>
      <c r="D118" t="str">
        <f t="shared" si="2"/>
        <v>1.28</v>
      </c>
      <c r="E118" t="str">
        <f t="shared" si="3"/>
        <v>6255378.73</v>
      </c>
      <c r="G118" t="str">
        <f t="shared" si="4"/>
        <v>1.51</v>
      </c>
      <c r="H118" t="str">
        <f t="shared" si="5"/>
        <v>6255378.73</v>
      </c>
      <c r="J118" t="str">
        <f t="shared" si="6"/>
        <v>si</v>
      </c>
      <c r="K118" t="str">
        <f t="shared" si="7"/>
        <v>1.66</v>
      </c>
    </row>
    <row r="119" ht="15.75" customHeight="1">
      <c r="B119" t="str">
        <f t="shared" si="1"/>
        <v>4164634.921</v>
      </c>
      <c r="C119" s="5" t="str">
        <f t="shared" si="8"/>
        <v>189.30%</v>
      </c>
      <c r="D119" t="str">
        <f t="shared" si="2"/>
        <v>1.28</v>
      </c>
      <c r="E119" t="str">
        <f t="shared" si="3"/>
        <v>6288598.73</v>
      </c>
      <c r="G119" t="str">
        <f t="shared" si="4"/>
        <v>1.51</v>
      </c>
      <c r="H119" t="str">
        <f t="shared" si="5"/>
        <v>6288598.73</v>
      </c>
      <c r="J119" t="str">
        <f t="shared" si="6"/>
        <v>si</v>
      </c>
      <c r="K119" t="str">
        <f t="shared" si="7"/>
        <v>1.66</v>
      </c>
    </row>
    <row r="120" ht="15.75" customHeight="1">
      <c r="B120" t="str">
        <f t="shared" si="1"/>
        <v>4186634.921</v>
      </c>
      <c r="C120" s="5" t="str">
        <f t="shared" si="8"/>
        <v>190.30%</v>
      </c>
      <c r="D120" t="str">
        <f t="shared" si="2"/>
        <v>1.28</v>
      </c>
      <c r="E120" t="str">
        <f t="shared" si="3"/>
        <v>6321818.73</v>
      </c>
      <c r="G120" t="str">
        <f t="shared" si="4"/>
        <v>1.51</v>
      </c>
      <c r="H120" t="str">
        <f t="shared" si="5"/>
        <v>6321818.73</v>
      </c>
      <c r="J120" t="str">
        <f t="shared" si="6"/>
        <v>si</v>
      </c>
      <c r="K120" t="str">
        <f t="shared" si="7"/>
        <v>1.66</v>
      </c>
    </row>
    <row r="121" ht="15.75" customHeight="1">
      <c r="B121" t="str">
        <f t="shared" si="1"/>
        <v>4208634.921</v>
      </c>
      <c r="C121" s="5" t="str">
        <f t="shared" si="8"/>
        <v>191.30%</v>
      </c>
      <c r="D121" t="str">
        <f t="shared" si="2"/>
        <v>1.28</v>
      </c>
      <c r="E121" t="str">
        <f t="shared" si="3"/>
        <v>6355038.73</v>
      </c>
      <c r="G121" t="str">
        <f t="shared" si="4"/>
        <v>1.51</v>
      </c>
      <c r="H121" t="str">
        <f t="shared" si="5"/>
        <v>6355038.73</v>
      </c>
      <c r="J121" t="str">
        <f t="shared" si="6"/>
        <v>si</v>
      </c>
      <c r="K121" t="str">
        <f t="shared" si="7"/>
        <v>1.66</v>
      </c>
    </row>
    <row r="122" ht="15.75" customHeight="1">
      <c r="B122" t="str">
        <f t="shared" si="1"/>
        <v>4230634.921</v>
      </c>
      <c r="C122" s="5" t="str">
        <f t="shared" si="8"/>
        <v>192.30%</v>
      </c>
      <c r="D122" t="str">
        <f t="shared" si="2"/>
        <v>1.28</v>
      </c>
      <c r="E122" t="str">
        <f t="shared" si="3"/>
        <v>6388258.73</v>
      </c>
      <c r="G122" t="str">
        <f t="shared" si="4"/>
        <v>1.51</v>
      </c>
      <c r="H122" t="str">
        <f t="shared" si="5"/>
        <v>6388258.73</v>
      </c>
      <c r="J122" t="str">
        <f t="shared" si="6"/>
        <v>si</v>
      </c>
      <c r="K122" t="str">
        <f t="shared" si="7"/>
        <v>1.66</v>
      </c>
    </row>
    <row r="123" ht="15.75" customHeight="1">
      <c r="B123" t="str">
        <f t="shared" si="1"/>
        <v>4252634.921</v>
      </c>
      <c r="C123" s="5" t="str">
        <f t="shared" si="8"/>
        <v>193.30%</v>
      </c>
      <c r="D123" t="str">
        <f t="shared" si="2"/>
        <v>1.28</v>
      </c>
      <c r="E123" t="str">
        <f t="shared" si="3"/>
        <v>6421478.73</v>
      </c>
      <c r="G123" t="str">
        <f t="shared" si="4"/>
        <v>1.51</v>
      </c>
      <c r="H123" t="str">
        <f t="shared" si="5"/>
        <v>6421478.73</v>
      </c>
      <c r="J123" t="str">
        <f t="shared" si="6"/>
        <v>si</v>
      </c>
      <c r="K123" t="str">
        <f t="shared" si="7"/>
        <v>1.66</v>
      </c>
    </row>
    <row r="124" ht="15.75" customHeight="1">
      <c r="B124" t="str">
        <f t="shared" si="1"/>
        <v>4274634.921</v>
      </c>
      <c r="C124" s="5" t="str">
        <f t="shared" si="8"/>
        <v>194.30%</v>
      </c>
      <c r="D124" t="str">
        <f t="shared" si="2"/>
        <v>1.28</v>
      </c>
      <c r="E124" t="str">
        <f t="shared" si="3"/>
        <v>6454698.73</v>
      </c>
      <c r="G124" t="str">
        <f t="shared" si="4"/>
        <v>1.51</v>
      </c>
      <c r="H124" t="str">
        <f t="shared" si="5"/>
        <v>6454698.73</v>
      </c>
      <c r="J124" t="str">
        <f t="shared" si="6"/>
        <v>si</v>
      </c>
      <c r="K124" t="str">
        <f t="shared" si="7"/>
        <v>1.66</v>
      </c>
    </row>
    <row r="125" ht="15.75" customHeight="1">
      <c r="B125" t="str">
        <f t="shared" si="1"/>
        <v>4296634.921</v>
      </c>
      <c r="C125" s="5" t="str">
        <f t="shared" si="8"/>
        <v>195.30%</v>
      </c>
      <c r="D125" t="str">
        <f t="shared" si="2"/>
        <v>1.28</v>
      </c>
      <c r="E125" t="str">
        <f t="shared" si="3"/>
        <v>6487918.73</v>
      </c>
      <c r="G125" t="str">
        <f t="shared" si="4"/>
        <v>1.51</v>
      </c>
      <c r="H125" t="str">
        <f t="shared" si="5"/>
        <v>6487918.73</v>
      </c>
      <c r="J125" t="str">
        <f t="shared" si="6"/>
        <v>si</v>
      </c>
      <c r="K125" t="str">
        <f t="shared" si="7"/>
        <v>1.66</v>
      </c>
    </row>
    <row r="126" ht="15.75" customHeight="1">
      <c r="B126" t="str">
        <f t="shared" si="1"/>
        <v>4318634.921</v>
      </c>
      <c r="C126" s="5" t="str">
        <f t="shared" si="8"/>
        <v>196.30%</v>
      </c>
      <c r="D126" t="str">
        <f t="shared" si="2"/>
        <v>1.28</v>
      </c>
      <c r="E126" t="str">
        <f t="shared" si="3"/>
        <v>6521138.73</v>
      </c>
      <c r="G126" t="str">
        <f t="shared" si="4"/>
        <v>1.51</v>
      </c>
      <c r="H126" t="str">
        <f t="shared" si="5"/>
        <v>6521138.73</v>
      </c>
      <c r="J126" t="str">
        <f t="shared" si="6"/>
        <v>si</v>
      </c>
      <c r="K126" t="str">
        <f t="shared" si="7"/>
        <v>1.66</v>
      </c>
    </row>
    <row r="127" ht="15.75" customHeight="1">
      <c r="B127" t="str">
        <f t="shared" si="1"/>
        <v>4340634.921</v>
      </c>
      <c r="C127" s="5" t="str">
        <f t="shared" si="8"/>
        <v>197.30%</v>
      </c>
      <c r="D127" t="str">
        <f t="shared" si="2"/>
        <v>1.28</v>
      </c>
      <c r="E127" t="str">
        <f t="shared" si="3"/>
        <v>6554358.73</v>
      </c>
      <c r="G127" t="str">
        <f t="shared" si="4"/>
        <v>1.51</v>
      </c>
      <c r="H127" t="str">
        <f t="shared" si="5"/>
        <v>6554358.73</v>
      </c>
      <c r="J127" t="str">
        <f t="shared" si="6"/>
        <v>si</v>
      </c>
      <c r="K127" t="str">
        <f t="shared" si="7"/>
        <v>1.66</v>
      </c>
    </row>
    <row r="128" ht="15.75" customHeight="1">
      <c r="B128" t="str">
        <f t="shared" si="1"/>
        <v>4362634.921</v>
      </c>
      <c r="C128" s="5" t="str">
        <f t="shared" si="8"/>
        <v>198.30%</v>
      </c>
      <c r="D128" t="str">
        <f t="shared" si="2"/>
        <v>1.28</v>
      </c>
      <c r="E128" t="str">
        <f t="shared" si="3"/>
        <v>6587578.73</v>
      </c>
      <c r="G128" t="str">
        <f t="shared" si="4"/>
        <v>1.51</v>
      </c>
      <c r="H128" t="str">
        <f t="shared" si="5"/>
        <v>6587578.73</v>
      </c>
      <c r="J128" t="str">
        <f t="shared" si="6"/>
        <v>si</v>
      </c>
      <c r="K128" t="str">
        <f t="shared" si="7"/>
        <v>1.66</v>
      </c>
    </row>
    <row r="129" ht="15.75" customHeight="1">
      <c r="B129" t="str">
        <f t="shared" si="1"/>
        <v>4384634.921</v>
      </c>
      <c r="C129" s="5" t="str">
        <f t="shared" si="8"/>
        <v>199.30%</v>
      </c>
      <c r="D129" t="str">
        <f t="shared" si="2"/>
        <v>1.28</v>
      </c>
      <c r="E129" t="str">
        <f t="shared" si="3"/>
        <v>6620798.73</v>
      </c>
      <c r="G129" t="str">
        <f t="shared" si="4"/>
        <v>1.51</v>
      </c>
      <c r="H129" t="str">
        <f t="shared" si="5"/>
        <v>6620798.73</v>
      </c>
      <c r="J129" t="str">
        <f t="shared" si="6"/>
        <v>si</v>
      </c>
      <c r="K129" t="str">
        <f t="shared" si="7"/>
        <v>1.66</v>
      </c>
    </row>
    <row r="130" ht="15.75" customHeight="1">
      <c r="B130" t="str">
        <f t="shared" si="1"/>
        <v>4406634.921</v>
      </c>
      <c r="C130" s="5" t="str">
        <f t="shared" si="8"/>
        <v>200.30%</v>
      </c>
      <c r="D130" t="str">
        <f t="shared" si="2"/>
        <v>1.44</v>
      </c>
      <c r="E130" t="str">
        <f t="shared" si="3"/>
        <v>7359080.317</v>
      </c>
      <c r="G130" t="str">
        <f t="shared" si="4"/>
        <v>1.67</v>
      </c>
      <c r="H130" t="str">
        <f t="shared" si="5"/>
        <v>7359080.317</v>
      </c>
      <c r="J130" t="str">
        <f t="shared" si="6"/>
        <v>si</v>
      </c>
      <c r="K130" t="str">
        <f t="shared" si="7"/>
        <v>1.82</v>
      </c>
    </row>
    <row r="131" ht="15.75" customHeight="1">
      <c r="B131" t="str">
        <f t="shared" si="1"/>
        <v>4428634.921</v>
      </c>
      <c r="C131" s="5" t="str">
        <f t="shared" si="8"/>
        <v>201.30%</v>
      </c>
      <c r="D131" t="str">
        <f t="shared" si="2"/>
        <v>1.44</v>
      </c>
      <c r="E131" t="str">
        <f t="shared" si="3"/>
        <v>7395820.317</v>
      </c>
      <c r="G131" t="str">
        <f t="shared" si="4"/>
        <v>1.67</v>
      </c>
      <c r="H131" t="str">
        <f t="shared" si="5"/>
        <v>7395820.317</v>
      </c>
      <c r="J131" t="str">
        <f t="shared" si="6"/>
        <v>si</v>
      </c>
      <c r="K131" t="str">
        <f t="shared" si="7"/>
        <v>1.82</v>
      </c>
    </row>
    <row r="132" ht="15.75" customHeight="1">
      <c r="B132" t="str">
        <f t="shared" si="1"/>
        <v>4450634.921</v>
      </c>
      <c r="C132" s="5" t="str">
        <f t="shared" si="8"/>
        <v>202.30%</v>
      </c>
      <c r="D132" t="str">
        <f t="shared" si="2"/>
        <v>1.44</v>
      </c>
      <c r="E132" t="str">
        <f t="shared" si="3"/>
        <v>7432560.317</v>
      </c>
      <c r="G132" t="str">
        <f t="shared" si="4"/>
        <v>1.67</v>
      </c>
      <c r="H132" t="str">
        <f t="shared" si="5"/>
        <v>7432560.317</v>
      </c>
      <c r="J132" t="str">
        <f t="shared" si="6"/>
        <v>si</v>
      </c>
      <c r="K132" t="str">
        <f t="shared" si="7"/>
        <v>1.82</v>
      </c>
    </row>
    <row r="133" ht="15.75" customHeight="1">
      <c r="B133" t="str">
        <f t="shared" si="1"/>
        <v>4472634.921</v>
      </c>
      <c r="C133" s="5" t="str">
        <f t="shared" si="8"/>
        <v>203.30%</v>
      </c>
      <c r="D133" t="str">
        <f t="shared" si="2"/>
        <v>1.44</v>
      </c>
      <c r="E133" t="str">
        <f t="shared" si="3"/>
        <v>7469300.317</v>
      </c>
      <c r="G133" t="str">
        <f t="shared" si="4"/>
        <v>1.67</v>
      </c>
      <c r="H133" t="str">
        <f t="shared" si="5"/>
        <v>7469300.317</v>
      </c>
      <c r="J133" t="str">
        <f t="shared" si="6"/>
        <v>si</v>
      </c>
      <c r="K133" t="str">
        <f t="shared" si="7"/>
        <v>1.82</v>
      </c>
    </row>
    <row r="134" ht="15.75" customHeight="1">
      <c r="B134" t="str">
        <f t="shared" si="1"/>
        <v>4494634.921</v>
      </c>
      <c r="C134" s="5" t="str">
        <f t="shared" si="8"/>
        <v>204.30%</v>
      </c>
      <c r="D134" t="str">
        <f t="shared" si="2"/>
        <v>1.44</v>
      </c>
      <c r="E134" t="str">
        <f t="shared" si="3"/>
        <v>7506040.317</v>
      </c>
      <c r="G134" t="str">
        <f t="shared" si="4"/>
        <v>1.67</v>
      </c>
      <c r="H134" t="str">
        <f t="shared" si="5"/>
        <v>7506040.317</v>
      </c>
      <c r="J134" t="str">
        <f t="shared" si="6"/>
        <v>si</v>
      </c>
      <c r="K134" t="str">
        <f t="shared" si="7"/>
        <v>1.82</v>
      </c>
    </row>
    <row r="135" ht="15.75" customHeight="1">
      <c r="B135" t="str">
        <f t="shared" si="1"/>
        <v>4516634.921</v>
      </c>
      <c r="C135" s="5" t="str">
        <f t="shared" si="8"/>
        <v>205.30%</v>
      </c>
      <c r="D135" t="str">
        <f t="shared" si="2"/>
        <v>1.44</v>
      </c>
      <c r="E135" t="str">
        <f t="shared" si="3"/>
        <v>7542780.317</v>
      </c>
      <c r="G135" t="str">
        <f t="shared" si="4"/>
        <v>1.67</v>
      </c>
      <c r="H135" t="str">
        <f t="shared" si="5"/>
        <v>7542780.317</v>
      </c>
      <c r="J135" t="str">
        <f t="shared" si="6"/>
        <v>si</v>
      </c>
      <c r="K135" t="str">
        <f t="shared" si="7"/>
        <v>1.82</v>
      </c>
    </row>
    <row r="136" ht="15.75" customHeight="1">
      <c r="B136" t="str">
        <f t="shared" si="1"/>
        <v>4538634.921</v>
      </c>
      <c r="C136" s="5" t="str">
        <f t="shared" si="8"/>
        <v>206.30%</v>
      </c>
      <c r="D136" t="str">
        <f t="shared" si="2"/>
        <v>1.44</v>
      </c>
      <c r="E136" t="str">
        <f t="shared" si="3"/>
        <v>7579520.317</v>
      </c>
      <c r="G136" t="str">
        <f t="shared" si="4"/>
        <v>1.67</v>
      </c>
      <c r="H136" t="str">
        <f t="shared" si="5"/>
        <v>7579520.317</v>
      </c>
      <c r="J136" t="str">
        <f t="shared" si="6"/>
        <v>si</v>
      </c>
      <c r="K136" t="str">
        <f t="shared" si="7"/>
        <v>1.82</v>
      </c>
    </row>
    <row r="137" ht="15.75" customHeight="1">
      <c r="B137" t="str">
        <f t="shared" si="1"/>
        <v>4560634.921</v>
      </c>
      <c r="C137" s="5" t="str">
        <f t="shared" si="8"/>
        <v>207.30%</v>
      </c>
      <c r="D137" t="str">
        <f t="shared" si="2"/>
        <v>1.44</v>
      </c>
      <c r="E137" t="str">
        <f t="shared" si="3"/>
        <v>7616260.317</v>
      </c>
      <c r="G137" t="str">
        <f t="shared" si="4"/>
        <v>1.67</v>
      </c>
      <c r="H137" t="str">
        <f t="shared" si="5"/>
        <v>7616260.317</v>
      </c>
      <c r="J137" t="str">
        <f t="shared" si="6"/>
        <v>si</v>
      </c>
      <c r="K137" t="str">
        <f t="shared" si="7"/>
        <v>1.82</v>
      </c>
    </row>
    <row r="138" ht="15.75" customHeight="1">
      <c r="B138" t="str">
        <f t="shared" si="1"/>
        <v>4582634.921</v>
      </c>
      <c r="C138" s="5" t="str">
        <f t="shared" si="8"/>
        <v>208.30%</v>
      </c>
      <c r="D138" t="str">
        <f t="shared" si="2"/>
        <v>1.44</v>
      </c>
      <c r="E138" t="str">
        <f t="shared" si="3"/>
        <v>7653000.317</v>
      </c>
      <c r="G138" t="str">
        <f t="shared" si="4"/>
        <v>1.67</v>
      </c>
      <c r="H138" t="str">
        <f t="shared" si="5"/>
        <v>7653000.317</v>
      </c>
      <c r="J138" t="str">
        <f t="shared" si="6"/>
        <v>si</v>
      </c>
      <c r="K138" t="str">
        <f t="shared" si="7"/>
        <v>1.82</v>
      </c>
    </row>
    <row r="139" ht="15.75" customHeight="1">
      <c r="B139" t="str">
        <f t="shared" si="1"/>
        <v>4604634.921</v>
      </c>
      <c r="C139" s="5" t="str">
        <f t="shared" si="8"/>
        <v>209.30%</v>
      </c>
      <c r="D139" t="str">
        <f t="shared" si="2"/>
        <v>1.44</v>
      </c>
      <c r="E139" t="str">
        <f t="shared" si="3"/>
        <v>7689740.317</v>
      </c>
      <c r="G139" t="str">
        <f t="shared" si="4"/>
        <v>1.67</v>
      </c>
      <c r="H139" t="str">
        <f t="shared" si="5"/>
        <v>7689740.317</v>
      </c>
      <c r="J139" t="str">
        <f t="shared" si="6"/>
        <v>si</v>
      </c>
      <c r="K139" t="str">
        <f t="shared" si="7"/>
        <v>1.82</v>
      </c>
    </row>
    <row r="140" ht="15.75" customHeight="1">
      <c r="B140" t="str">
        <f t="shared" si="1"/>
        <v>4626634.921</v>
      </c>
      <c r="C140" s="5" t="str">
        <f t="shared" si="8"/>
        <v>210.30%</v>
      </c>
      <c r="D140" t="str">
        <f t="shared" si="2"/>
        <v>1.44</v>
      </c>
      <c r="E140" t="str">
        <f t="shared" si="3"/>
        <v>7726480.317</v>
      </c>
      <c r="G140" t="str">
        <f t="shared" si="4"/>
        <v>1.67</v>
      </c>
      <c r="H140" t="str">
        <f t="shared" si="5"/>
        <v>7726480.317</v>
      </c>
      <c r="J140" t="str">
        <f t="shared" si="6"/>
        <v>si</v>
      </c>
      <c r="K140" t="str">
        <f t="shared" si="7"/>
        <v>1.82</v>
      </c>
    </row>
    <row r="141" ht="15.75" customHeight="1">
      <c r="B141" t="str">
        <f t="shared" si="1"/>
        <v>4648634.921</v>
      </c>
      <c r="C141" s="5" t="str">
        <f t="shared" si="8"/>
        <v>211.30%</v>
      </c>
      <c r="D141" t="str">
        <f t="shared" si="2"/>
        <v>1.44</v>
      </c>
      <c r="E141" t="str">
        <f t="shared" si="3"/>
        <v>7763220.317</v>
      </c>
      <c r="G141" t="str">
        <f t="shared" si="4"/>
        <v>1.67</v>
      </c>
      <c r="H141" t="str">
        <f t="shared" si="5"/>
        <v>7763220.317</v>
      </c>
      <c r="J141" t="str">
        <f t="shared" si="6"/>
        <v>si</v>
      </c>
      <c r="K141" t="str">
        <f t="shared" si="7"/>
        <v>1.82</v>
      </c>
    </row>
    <row r="142" ht="15.75" customHeight="1">
      <c r="B142" t="str">
        <f t="shared" si="1"/>
        <v>4670634.921</v>
      </c>
      <c r="C142" s="5" t="str">
        <f t="shared" si="8"/>
        <v>212.30%</v>
      </c>
      <c r="D142" t="str">
        <f t="shared" si="2"/>
        <v>1.44</v>
      </c>
      <c r="E142" t="str">
        <f t="shared" si="3"/>
        <v>7799960.317</v>
      </c>
      <c r="G142" t="str">
        <f t="shared" si="4"/>
        <v>1.67</v>
      </c>
      <c r="H142" t="str">
        <f t="shared" si="5"/>
        <v>7799960.317</v>
      </c>
      <c r="J142" t="str">
        <f t="shared" si="6"/>
        <v>si</v>
      </c>
      <c r="K142" t="str">
        <f t="shared" si="7"/>
        <v>1.82</v>
      </c>
    </row>
    <row r="143" ht="15.75" customHeight="1">
      <c r="B143" t="str">
        <f t="shared" si="1"/>
        <v>4692634.921</v>
      </c>
      <c r="C143" s="5" t="str">
        <f t="shared" si="8"/>
        <v>213.30%</v>
      </c>
      <c r="D143" t="str">
        <f t="shared" si="2"/>
        <v>1.44</v>
      </c>
      <c r="E143" t="str">
        <f t="shared" si="3"/>
        <v>7836700.317</v>
      </c>
      <c r="G143" t="str">
        <f t="shared" si="4"/>
        <v>1.67</v>
      </c>
      <c r="H143" t="str">
        <f t="shared" si="5"/>
        <v>7836700.317</v>
      </c>
      <c r="J143" t="str">
        <f t="shared" si="6"/>
        <v>si</v>
      </c>
      <c r="K143" t="str">
        <f t="shared" si="7"/>
        <v>1.82</v>
      </c>
    </row>
    <row r="144" ht="15.75" customHeight="1">
      <c r="B144" t="str">
        <f t="shared" si="1"/>
        <v>4714634.921</v>
      </c>
      <c r="C144" s="5" t="str">
        <f t="shared" si="8"/>
        <v>214.30%</v>
      </c>
      <c r="D144" t="str">
        <f t="shared" si="2"/>
        <v>1.44</v>
      </c>
      <c r="E144" t="str">
        <f t="shared" si="3"/>
        <v>7873440.317</v>
      </c>
      <c r="G144" t="str">
        <f t="shared" si="4"/>
        <v>1.67</v>
      </c>
      <c r="H144" t="str">
        <f t="shared" si="5"/>
        <v>7873440.317</v>
      </c>
      <c r="J144" t="str">
        <f t="shared" si="6"/>
        <v>si</v>
      </c>
      <c r="K144" t="str">
        <f t="shared" si="7"/>
        <v>1.82</v>
      </c>
    </row>
    <row r="145" ht="15.75" customHeight="1">
      <c r="B145" t="str">
        <f t="shared" si="1"/>
        <v>4736634.921</v>
      </c>
      <c r="C145" s="5" t="str">
        <f t="shared" si="8"/>
        <v>215.30%</v>
      </c>
      <c r="D145" t="str">
        <f t="shared" si="2"/>
        <v>1.44</v>
      </c>
      <c r="E145" t="str">
        <f t="shared" si="3"/>
        <v>7910180.317</v>
      </c>
      <c r="G145" t="str">
        <f t="shared" si="4"/>
        <v>1.67</v>
      </c>
      <c r="H145" t="str">
        <f t="shared" si="5"/>
        <v>7910180.317</v>
      </c>
      <c r="J145" t="str">
        <f t="shared" si="6"/>
        <v>si</v>
      </c>
      <c r="K145" t="str">
        <f t="shared" si="7"/>
        <v>1.82</v>
      </c>
    </row>
    <row r="146" ht="15.75" customHeight="1">
      <c r="B146" t="str">
        <f t="shared" si="1"/>
        <v>4758634.921</v>
      </c>
      <c r="C146" s="5" t="str">
        <f t="shared" si="8"/>
        <v>216.30%</v>
      </c>
      <c r="D146" t="str">
        <f t="shared" si="2"/>
        <v>1.44</v>
      </c>
      <c r="E146" t="str">
        <f t="shared" si="3"/>
        <v>7946920.317</v>
      </c>
      <c r="G146" t="str">
        <f t="shared" si="4"/>
        <v>1.67</v>
      </c>
      <c r="H146" t="str">
        <f t="shared" si="5"/>
        <v>7946920.317</v>
      </c>
      <c r="J146" t="str">
        <f t="shared" si="6"/>
        <v>si</v>
      </c>
      <c r="K146" t="str">
        <f t="shared" si="7"/>
        <v>1.82</v>
      </c>
    </row>
    <row r="147" ht="15.75" customHeight="1">
      <c r="B147" t="str">
        <f t="shared" si="1"/>
        <v>4780634.921</v>
      </c>
      <c r="C147" s="5" t="str">
        <f t="shared" si="8"/>
        <v>217.30%</v>
      </c>
      <c r="D147" t="str">
        <f t="shared" si="2"/>
        <v>1.44</v>
      </c>
      <c r="E147" t="str">
        <f t="shared" si="3"/>
        <v>7983660.317</v>
      </c>
      <c r="G147" t="str">
        <f t="shared" si="4"/>
        <v>1.67</v>
      </c>
      <c r="H147" t="str">
        <f t="shared" si="5"/>
        <v>7983660.317</v>
      </c>
      <c r="J147" t="str">
        <f t="shared" si="6"/>
        <v>si</v>
      </c>
      <c r="K147" t="str">
        <f t="shared" si="7"/>
        <v>1.82</v>
      </c>
    </row>
    <row r="148" ht="15.75" customHeight="1">
      <c r="B148" t="str">
        <f t="shared" si="1"/>
        <v>4802634.921</v>
      </c>
      <c r="C148" s="5" t="str">
        <f t="shared" si="8"/>
        <v>218.30%</v>
      </c>
      <c r="D148" t="str">
        <f t="shared" si="2"/>
        <v>1.44</v>
      </c>
      <c r="E148" t="str">
        <f t="shared" si="3"/>
        <v>8020400.317</v>
      </c>
      <c r="G148" t="str">
        <f t="shared" si="4"/>
        <v>1.67</v>
      </c>
      <c r="H148" t="str">
        <f t="shared" si="5"/>
        <v>8020400.317</v>
      </c>
      <c r="J148" t="str">
        <f t="shared" si="6"/>
        <v>si</v>
      </c>
      <c r="K148" t="str">
        <f t="shared" si="7"/>
        <v>1.82</v>
      </c>
    </row>
    <row r="149" ht="15.75" customHeight="1">
      <c r="B149" t="str">
        <f t="shared" si="1"/>
        <v>4824634.921</v>
      </c>
      <c r="C149" s="5" t="str">
        <f t="shared" si="8"/>
        <v>219.30%</v>
      </c>
      <c r="D149" t="str">
        <f t="shared" si="2"/>
        <v>1.44</v>
      </c>
      <c r="E149" t="str">
        <f t="shared" si="3"/>
        <v>8057140.317</v>
      </c>
      <c r="G149" t="str">
        <f t="shared" si="4"/>
        <v>1.67</v>
      </c>
      <c r="H149" t="str">
        <f t="shared" si="5"/>
        <v>8057140.317</v>
      </c>
      <c r="J149" t="str">
        <f t="shared" si="6"/>
        <v>si</v>
      </c>
      <c r="K149" t="str">
        <f t="shared" si="7"/>
        <v>1.82</v>
      </c>
    </row>
    <row r="150" ht="15.75" customHeight="1">
      <c r="B150" t="str">
        <f t="shared" si="1"/>
        <v>4846634.921</v>
      </c>
      <c r="C150" s="5" t="str">
        <f t="shared" si="8"/>
        <v>220.30%</v>
      </c>
      <c r="D150" t="str">
        <f t="shared" si="2"/>
        <v>1.44</v>
      </c>
      <c r="E150" t="str">
        <f t="shared" si="3"/>
        <v>8093880.317</v>
      </c>
      <c r="G150" t="str">
        <f t="shared" si="4"/>
        <v>1.67</v>
      </c>
      <c r="H150" t="str">
        <f t="shared" si="5"/>
        <v>8093880.317</v>
      </c>
      <c r="J150" t="str">
        <f t="shared" si="6"/>
        <v>si</v>
      </c>
      <c r="K150" t="str">
        <f t="shared" si="7"/>
        <v>1.82</v>
      </c>
    </row>
    <row r="151" ht="15.75" customHeight="1">
      <c r="B151" t="str">
        <f t="shared" si="1"/>
        <v>4868634.921</v>
      </c>
      <c r="C151" s="5" t="str">
        <f t="shared" si="8"/>
        <v>221.30%</v>
      </c>
      <c r="D151" t="str">
        <f t="shared" si="2"/>
        <v>1.44</v>
      </c>
      <c r="E151" t="str">
        <f t="shared" si="3"/>
        <v>8130620.317</v>
      </c>
      <c r="G151" t="str">
        <f t="shared" si="4"/>
        <v>1.67</v>
      </c>
      <c r="H151" t="str">
        <f t="shared" si="5"/>
        <v>8130620.317</v>
      </c>
      <c r="J151" t="str">
        <f t="shared" si="6"/>
        <v>si</v>
      </c>
      <c r="K151" t="str">
        <f t="shared" si="7"/>
        <v>1.82</v>
      </c>
    </row>
    <row r="152" ht="15.75" customHeight="1">
      <c r="B152" t="str">
        <f t="shared" si="1"/>
        <v>4890634.921</v>
      </c>
      <c r="C152" s="5" t="str">
        <f t="shared" si="8"/>
        <v>222.30%</v>
      </c>
      <c r="D152" t="str">
        <f t="shared" si="2"/>
        <v>1.44</v>
      </c>
      <c r="E152" t="str">
        <f t="shared" si="3"/>
        <v>8167360.317</v>
      </c>
      <c r="G152" t="str">
        <f t="shared" si="4"/>
        <v>1.67</v>
      </c>
      <c r="H152" t="str">
        <f t="shared" si="5"/>
        <v>8167360.317</v>
      </c>
      <c r="J152" t="str">
        <f t="shared" si="6"/>
        <v>si</v>
      </c>
      <c r="K152" t="str">
        <f t="shared" si="7"/>
        <v>1.82</v>
      </c>
    </row>
    <row r="153" ht="15.75" customHeight="1">
      <c r="B153" t="str">
        <f t="shared" si="1"/>
        <v>4912634.921</v>
      </c>
      <c r="C153" s="5" t="str">
        <f t="shared" si="8"/>
        <v>223.30%</v>
      </c>
      <c r="D153" t="str">
        <f t="shared" si="2"/>
        <v>1.44</v>
      </c>
      <c r="E153" t="str">
        <f t="shared" si="3"/>
        <v>8204100.317</v>
      </c>
      <c r="G153" t="str">
        <f t="shared" si="4"/>
        <v>1.67</v>
      </c>
      <c r="H153" t="str">
        <f t="shared" si="5"/>
        <v>8204100.317</v>
      </c>
      <c r="J153" t="str">
        <f t="shared" si="6"/>
        <v>si</v>
      </c>
      <c r="K153" t="str">
        <f t="shared" si="7"/>
        <v>1.82</v>
      </c>
    </row>
    <row r="154" ht="15.75" customHeight="1">
      <c r="B154" t="str">
        <f t="shared" si="1"/>
        <v>4934634.921</v>
      </c>
      <c r="C154" s="5" t="str">
        <f t="shared" si="8"/>
        <v>224.30%</v>
      </c>
      <c r="D154" t="str">
        <f t="shared" si="2"/>
        <v>1.44</v>
      </c>
      <c r="E154" t="str">
        <f t="shared" si="3"/>
        <v>8240840.317</v>
      </c>
      <c r="G154" t="str">
        <f t="shared" si="4"/>
        <v>1.67</v>
      </c>
      <c r="H154" t="str">
        <f t="shared" si="5"/>
        <v>8240840.317</v>
      </c>
      <c r="J154" t="str">
        <f t="shared" si="6"/>
        <v>si</v>
      </c>
      <c r="K154" t="str">
        <f t="shared" si="7"/>
        <v>1.82</v>
      </c>
    </row>
    <row r="155" ht="15.75" customHeight="1">
      <c r="B155" t="str">
        <f t="shared" si="1"/>
        <v>4956634.921</v>
      </c>
      <c r="C155" s="5" t="str">
        <f t="shared" si="8"/>
        <v>225.30%</v>
      </c>
      <c r="D155" t="str">
        <f t="shared" si="2"/>
        <v>1.44</v>
      </c>
      <c r="E155" t="str">
        <f t="shared" si="3"/>
        <v>8277580.317</v>
      </c>
      <c r="G155" t="str">
        <f t="shared" si="4"/>
        <v>1.67</v>
      </c>
      <c r="H155" t="str">
        <f t="shared" si="5"/>
        <v>8277580.317</v>
      </c>
      <c r="J155" t="str">
        <f t="shared" si="6"/>
        <v>si</v>
      </c>
      <c r="K155" t="str">
        <f t="shared" si="7"/>
        <v>1.82</v>
      </c>
    </row>
    <row r="156" ht="15.75" customHeight="1">
      <c r="B156" t="str">
        <f t="shared" si="1"/>
        <v>4978634.921</v>
      </c>
      <c r="C156" s="5" t="str">
        <f t="shared" si="8"/>
        <v>226.30%</v>
      </c>
      <c r="D156" t="str">
        <f t="shared" si="2"/>
        <v>1.44</v>
      </c>
      <c r="E156" t="str">
        <f t="shared" si="3"/>
        <v>8314320.317</v>
      </c>
      <c r="G156" t="str">
        <f t="shared" si="4"/>
        <v>1.67</v>
      </c>
      <c r="H156" t="str">
        <f t="shared" si="5"/>
        <v>8314320.317</v>
      </c>
      <c r="J156" t="str">
        <f t="shared" si="6"/>
        <v>si</v>
      </c>
      <c r="K156" t="str">
        <f t="shared" si="7"/>
        <v>1.82</v>
      </c>
    </row>
    <row r="157" ht="15.75" customHeight="1">
      <c r="B157" t="str">
        <f t="shared" si="1"/>
        <v>5000634.921</v>
      </c>
      <c r="C157" s="5" t="str">
        <f t="shared" si="8"/>
        <v>227.30%</v>
      </c>
      <c r="D157" t="str">
        <f t="shared" si="2"/>
        <v>1.44</v>
      </c>
      <c r="E157" t="str">
        <f t="shared" si="3"/>
        <v>8351060.317</v>
      </c>
      <c r="G157" t="str">
        <f t="shared" si="4"/>
        <v>1.67</v>
      </c>
      <c r="H157" t="str">
        <f t="shared" si="5"/>
        <v>8351060.317</v>
      </c>
      <c r="J157" t="str">
        <f t="shared" si="6"/>
        <v>si</v>
      </c>
      <c r="K157" t="str">
        <f t="shared" si="7"/>
        <v>1.82</v>
      </c>
    </row>
    <row r="158" ht="15.75" customHeight="1">
      <c r="B158" t="str">
        <f t="shared" si="1"/>
        <v>5022634.921</v>
      </c>
      <c r="C158" s="5" t="str">
        <f t="shared" si="8"/>
        <v>228.30%</v>
      </c>
      <c r="D158" t="str">
        <f t="shared" si="2"/>
        <v>1.44</v>
      </c>
      <c r="E158" t="str">
        <f t="shared" si="3"/>
        <v>8387800.317</v>
      </c>
      <c r="G158" t="str">
        <f t="shared" si="4"/>
        <v>1.67</v>
      </c>
      <c r="H158" t="str">
        <f t="shared" si="5"/>
        <v>8387800.317</v>
      </c>
      <c r="J158" t="str">
        <f t="shared" si="6"/>
        <v>si</v>
      </c>
      <c r="K158" t="str">
        <f t="shared" si="7"/>
        <v>1.82</v>
      </c>
    </row>
    <row r="159" ht="15.75" customHeight="1">
      <c r="B159" t="str">
        <f t="shared" si="1"/>
        <v>5044634.921</v>
      </c>
      <c r="C159" s="5" t="str">
        <f t="shared" si="8"/>
        <v>229.30%</v>
      </c>
      <c r="D159" t="str">
        <f t="shared" si="2"/>
        <v>1.44</v>
      </c>
      <c r="E159" t="str">
        <f t="shared" si="3"/>
        <v>8424540.317</v>
      </c>
      <c r="G159" t="str">
        <f t="shared" si="4"/>
        <v>1.67</v>
      </c>
      <c r="H159" t="str">
        <f t="shared" si="5"/>
        <v>8424540.317</v>
      </c>
      <c r="J159" t="str">
        <f t="shared" si="6"/>
        <v>si</v>
      </c>
      <c r="K159" t="str">
        <f t="shared" si="7"/>
        <v>1.82</v>
      </c>
    </row>
    <row r="160" ht="15.75" customHeight="1">
      <c r="B160" t="str">
        <f t="shared" si="1"/>
        <v>5066634.921</v>
      </c>
      <c r="C160" s="5" t="str">
        <f t="shared" si="8"/>
        <v>230.30%</v>
      </c>
      <c r="D160" t="str">
        <f t="shared" si="2"/>
        <v>1.44</v>
      </c>
      <c r="E160" t="str">
        <f t="shared" si="3"/>
        <v>8461280.317</v>
      </c>
      <c r="G160" t="str">
        <f t="shared" si="4"/>
        <v>1.67</v>
      </c>
      <c r="H160" t="str">
        <f t="shared" si="5"/>
        <v>8461280.317</v>
      </c>
      <c r="J160" t="str">
        <f t="shared" si="6"/>
        <v>si</v>
      </c>
      <c r="K160" t="str">
        <f t="shared" si="7"/>
        <v>1.82</v>
      </c>
    </row>
    <row r="161" ht="15.75" customHeight="1">
      <c r="B161" t="str">
        <f t="shared" si="1"/>
        <v>5088634.921</v>
      </c>
      <c r="C161" s="5" t="str">
        <f t="shared" si="8"/>
        <v>231.30%</v>
      </c>
      <c r="D161" t="str">
        <f t="shared" si="2"/>
        <v>1.44</v>
      </c>
      <c r="E161" t="str">
        <f t="shared" si="3"/>
        <v>8498020.317</v>
      </c>
      <c r="G161" t="str">
        <f t="shared" si="4"/>
        <v>1.67</v>
      </c>
      <c r="H161" t="str">
        <f t="shared" si="5"/>
        <v>8498020.317</v>
      </c>
      <c r="J161" t="str">
        <f t="shared" si="6"/>
        <v>si</v>
      </c>
      <c r="K161" t="str">
        <f t="shared" si="7"/>
        <v>1.82</v>
      </c>
    </row>
    <row r="162" ht="15.75" customHeight="1">
      <c r="B162" t="str">
        <f t="shared" si="1"/>
        <v>5110634.921</v>
      </c>
      <c r="C162" s="5" t="str">
        <f t="shared" si="8"/>
        <v>232.30%</v>
      </c>
      <c r="D162" t="str">
        <f t="shared" si="2"/>
        <v>1.44</v>
      </c>
      <c r="E162" t="str">
        <f t="shared" si="3"/>
        <v>8534760.317</v>
      </c>
      <c r="G162" t="str">
        <f t="shared" si="4"/>
        <v>1.67</v>
      </c>
      <c r="H162" t="str">
        <f t="shared" si="5"/>
        <v>8534760.317</v>
      </c>
      <c r="J162" t="str">
        <f t="shared" si="6"/>
        <v>si</v>
      </c>
      <c r="K162" t="str">
        <f t="shared" si="7"/>
        <v>1.82</v>
      </c>
    </row>
    <row r="163" ht="15.75" customHeight="1">
      <c r="B163" t="str">
        <f t="shared" si="1"/>
        <v>5132634.921</v>
      </c>
      <c r="C163" s="5" t="str">
        <f t="shared" si="8"/>
        <v>233.30%</v>
      </c>
      <c r="D163" t="str">
        <f t="shared" si="2"/>
        <v>1.44</v>
      </c>
      <c r="E163" t="str">
        <f t="shared" si="3"/>
        <v>8571500.317</v>
      </c>
      <c r="G163" t="str">
        <f t="shared" si="4"/>
        <v>1.67</v>
      </c>
      <c r="H163" t="str">
        <f t="shared" si="5"/>
        <v>8571500.317</v>
      </c>
      <c r="J163" t="str">
        <f t="shared" si="6"/>
        <v>si</v>
      </c>
      <c r="K163" t="str">
        <f t="shared" si="7"/>
        <v>1.82</v>
      </c>
    </row>
    <row r="164" ht="15.75" customHeight="1">
      <c r="B164" t="str">
        <f t="shared" si="1"/>
        <v>5154634.921</v>
      </c>
      <c r="C164" s="5" t="str">
        <f t="shared" si="8"/>
        <v>234.30%</v>
      </c>
      <c r="D164" t="str">
        <f t="shared" si="2"/>
        <v>1.44</v>
      </c>
      <c r="E164" t="str">
        <f t="shared" si="3"/>
        <v>8608240.317</v>
      </c>
      <c r="G164" t="str">
        <f t="shared" si="4"/>
        <v>1.67</v>
      </c>
      <c r="H164" t="str">
        <f t="shared" si="5"/>
        <v>8608240.317</v>
      </c>
      <c r="J164" t="str">
        <f t="shared" si="6"/>
        <v>si</v>
      </c>
      <c r="K164" t="str">
        <f t="shared" si="7"/>
        <v>1.82</v>
      </c>
    </row>
    <row r="165" ht="15.75" customHeight="1">
      <c r="B165" t="str">
        <f t="shared" si="1"/>
        <v>5176634.921</v>
      </c>
      <c r="C165" s="5" t="str">
        <f t="shared" si="8"/>
        <v>235.30%</v>
      </c>
      <c r="D165" t="str">
        <f t="shared" si="2"/>
        <v>1.44</v>
      </c>
      <c r="E165" t="str">
        <f t="shared" si="3"/>
        <v>8644980.317</v>
      </c>
      <c r="G165" t="str">
        <f t="shared" si="4"/>
        <v>1.67</v>
      </c>
      <c r="H165" t="str">
        <f t="shared" si="5"/>
        <v>8644980.317</v>
      </c>
      <c r="J165" t="str">
        <f t="shared" si="6"/>
        <v>si</v>
      </c>
      <c r="K165" t="str">
        <f t="shared" si="7"/>
        <v>1.82</v>
      </c>
    </row>
    <row r="166" ht="15.75" customHeight="1">
      <c r="B166" t="str">
        <f t="shared" si="1"/>
        <v>5198634.921</v>
      </c>
      <c r="C166" s="5" t="str">
        <f t="shared" si="8"/>
        <v>236.30%</v>
      </c>
      <c r="D166" t="str">
        <f t="shared" si="2"/>
        <v>1.44</v>
      </c>
      <c r="E166" t="str">
        <f t="shared" si="3"/>
        <v>8681720.317</v>
      </c>
      <c r="G166" t="str">
        <f t="shared" si="4"/>
        <v>1.67</v>
      </c>
      <c r="H166" t="str">
        <f t="shared" si="5"/>
        <v>8681720.317</v>
      </c>
      <c r="J166" t="str">
        <f t="shared" si="6"/>
        <v>si</v>
      </c>
      <c r="K166" t="str">
        <f t="shared" si="7"/>
        <v>1.82</v>
      </c>
    </row>
    <row r="167" ht="15.75" customHeight="1">
      <c r="B167" t="str">
        <f t="shared" si="1"/>
        <v>5220634.921</v>
      </c>
      <c r="C167" s="5" t="str">
        <f t="shared" si="8"/>
        <v>237.30%</v>
      </c>
      <c r="D167" t="str">
        <f t="shared" si="2"/>
        <v>1.44</v>
      </c>
      <c r="E167" t="str">
        <f t="shared" si="3"/>
        <v>8718460.317</v>
      </c>
      <c r="G167" t="str">
        <f t="shared" si="4"/>
        <v>1.67</v>
      </c>
      <c r="H167" t="str">
        <f t="shared" si="5"/>
        <v>8718460.317</v>
      </c>
      <c r="J167" t="str">
        <f t="shared" si="6"/>
        <v>si</v>
      </c>
      <c r="K167" t="str">
        <f t="shared" si="7"/>
        <v>1.82</v>
      </c>
    </row>
    <row r="168" ht="15.75" customHeight="1">
      <c r="B168" t="str">
        <f t="shared" si="1"/>
        <v>5242634.921</v>
      </c>
      <c r="C168" s="5" t="str">
        <f t="shared" si="8"/>
        <v>238.30%</v>
      </c>
      <c r="D168" t="str">
        <f t="shared" si="2"/>
        <v>1.44</v>
      </c>
      <c r="E168" t="str">
        <f t="shared" si="3"/>
        <v>8755200.317</v>
      </c>
      <c r="G168" t="str">
        <f t="shared" si="4"/>
        <v>1.67</v>
      </c>
      <c r="H168" t="str">
        <f t="shared" si="5"/>
        <v>8755200.317</v>
      </c>
      <c r="J168" t="str">
        <f t="shared" si="6"/>
        <v>si</v>
      </c>
      <c r="K168" t="str">
        <f t="shared" si="7"/>
        <v>1.82</v>
      </c>
    </row>
    <row r="169" ht="15.75" customHeight="1">
      <c r="B169" t="str">
        <f t="shared" si="1"/>
        <v>5264634.921</v>
      </c>
      <c r="C169" s="5" t="str">
        <f t="shared" si="8"/>
        <v>239.30%</v>
      </c>
      <c r="D169" t="str">
        <f t="shared" si="2"/>
        <v>1.44</v>
      </c>
      <c r="E169" t="str">
        <f t="shared" si="3"/>
        <v>8791940.317</v>
      </c>
      <c r="G169" t="str">
        <f t="shared" si="4"/>
        <v>1.67</v>
      </c>
      <c r="H169" t="str">
        <f t="shared" si="5"/>
        <v>8791940.317</v>
      </c>
      <c r="J169" t="str">
        <f t="shared" si="6"/>
        <v>si</v>
      </c>
      <c r="K169" t="str">
        <f t="shared" si="7"/>
        <v>1.82</v>
      </c>
    </row>
    <row r="170" ht="15.75" customHeight="1">
      <c r="B170" t="str">
        <f t="shared" si="1"/>
        <v>5286634.921</v>
      </c>
      <c r="C170" s="5" t="str">
        <f t="shared" si="8"/>
        <v>240.30%</v>
      </c>
      <c r="D170" t="str">
        <f t="shared" si="2"/>
        <v>1.44</v>
      </c>
      <c r="E170" t="str">
        <f t="shared" si="3"/>
        <v>8828680.317</v>
      </c>
      <c r="G170" t="str">
        <f t="shared" si="4"/>
        <v>1.67</v>
      </c>
      <c r="H170" t="str">
        <f t="shared" si="5"/>
        <v>8828680.317</v>
      </c>
      <c r="J170" t="str">
        <f t="shared" si="6"/>
        <v>si</v>
      </c>
      <c r="K170" t="str">
        <f t="shared" si="7"/>
        <v>1.82</v>
      </c>
    </row>
    <row r="171" ht="15.75" customHeight="1">
      <c r="B171" t="str">
        <f t="shared" si="1"/>
        <v>5308634.921</v>
      </c>
      <c r="C171" s="5" t="str">
        <f t="shared" si="8"/>
        <v>241.30%</v>
      </c>
      <c r="D171" t="str">
        <f t="shared" si="2"/>
        <v>1.44</v>
      </c>
      <c r="E171" t="str">
        <f t="shared" si="3"/>
        <v>8865420.317</v>
      </c>
      <c r="G171" t="str">
        <f t="shared" si="4"/>
        <v>1.67</v>
      </c>
      <c r="H171" t="str">
        <f t="shared" si="5"/>
        <v>8865420.317</v>
      </c>
      <c r="J171" t="str">
        <f t="shared" si="6"/>
        <v>si</v>
      </c>
      <c r="K171" t="str">
        <f t="shared" si="7"/>
        <v>1.82</v>
      </c>
    </row>
    <row r="172" ht="15.75" customHeight="1">
      <c r="B172" t="str">
        <f t="shared" si="1"/>
        <v>5330634.921</v>
      </c>
      <c r="C172" s="5" t="str">
        <f t="shared" si="8"/>
        <v>242.30%</v>
      </c>
      <c r="D172" t="str">
        <f t="shared" si="2"/>
        <v>1.44</v>
      </c>
      <c r="E172" t="str">
        <f t="shared" si="3"/>
        <v>8902160.317</v>
      </c>
      <c r="G172" t="str">
        <f t="shared" si="4"/>
        <v>1.67</v>
      </c>
      <c r="H172" t="str">
        <f t="shared" si="5"/>
        <v>8902160.317</v>
      </c>
      <c r="J172" t="str">
        <f t="shared" si="6"/>
        <v>si</v>
      </c>
      <c r="K172" t="str">
        <f t="shared" si="7"/>
        <v>1.82</v>
      </c>
    </row>
    <row r="173" ht="15.75" customHeight="1">
      <c r="B173" t="str">
        <f t="shared" si="1"/>
        <v>5352634.921</v>
      </c>
      <c r="C173" s="5" t="str">
        <f t="shared" si="8"/>
        <v>243.30%</v>
      </c>
      <c r="D173" t="str">
        <f t="shared" si="2"/>
        <v>1.44</v>
      </c>
      <c r="E173" t="str">
        <f t="shared" si="3"/>
        <v>8938900.317</v>
      </c>
      <c r="G173" t="str">
        <f t="shared" si="4"/>
        <v>1.67</v>
      </c>
      <c r="H173" t="str">
        <f t="shared" si="5"/>
        <v>8938900.317</v>
      </c>
      <c r="J173" t="str">
        <f t="shared" si="6"/>
        <v>si</v>
      </c>
      <c r="K173" t="str">
        <f t="shared" si="7"/>
        <v>1.82</v>
      </c>
    </row>
    <row r="174" ht="15.75" customHeight="1">
      <c r="B174" t="str">
        <f t="shared" si="1"/>
        <v>5374634.921</v>
      </c>
      <c r="C174" s="5" t="str">
        <f t="shared" si="8"/>
        <v>244.30%</v>
      </c>
      <c r="D174" t="str">
        <f t="shared" si="2"/>
        <v>1.44</v>
      </c>
      <c r="E174" t="str">
        <f t="shared" si="3"/>
        <v>8975640.317</v>
      </c>
      <c r="G174" t="str">
        <f t="shared" si="4"/>
        <v>1.67</v>
      </c>
      <c r="H174" t="str">
        <f t="shared" si="5"/>
        <v>8975640.317</v>
      </c>
      <c r="J174" t="str">
        <f t="shared" si="6"/>
        <v>si</v>
      </c>
      <c r="K174" t="str">
        <f t="shared" si="7"/>
        <v>1.82</v>
      </c>
    </row>
    <row r="175" ht="15.75" customHeight="1">
      <c r="B175" t="str">
        <f t="shared" si="1"/>
        <v>5396634.921</v>
      </c>
      <c r="C175" s="5" t="str">
        <f t="shared" si="8"/>
        <v>245.30%</v>
      </c>
      <c r="D175" t="str">
        <f t="shared" si="2"/>
        <v>1.44</v>
      </c>
      <c r="E175" t="str">
        <f t="shared" si="3"/>
        <v>9012380.317</v>
      </c>
      <c r="G175" t="str">
        <f t="shared" si="4"/>
        <v>1.67</v>
      </c>
      <c r="H175" t="str">
        <f t="shared" si="5"/>
        <v>9012380.317</v>
      </c>
      <c r="J175" t="str">
        <f t="shared" si="6"/>
        <v>si</v>
      </c>
      <c r="K175" t="str">
        <f t="shared" si="7"/>
        <v>1.82</v>
      </c>
    </row>
    <row r="176" ht="15.75" customHeight="1">
      <c r="B176" t="str">
        <f t="shared" si="1"/>
        <v>5418634.921</v>
      </c>
      <c r="C176" s="5" t="str">
        <f t="shared" si="8"/>
        <v>246.30%</v>
      </c>
      <c r="D176" t="str">
        <f t="shared" si="2"/>
        <v>1.44</v>
      </c>
      <c r="E176" t="str">
        <f t="shared" si="3"/>
        <v>9049120.317</v>
      </c>
      <c r="G176" t="str">
        <f t="shared" si="4"/>
        <v>1.67</v>
      </c>
      <c r="H176" t="str">
        <f t="shared" si="5"/>
        <v>9049120.317</v>
      </c>
      <c r="J176" t="str">
        <f t="shared" si="6"/>
        <v>si</v>
      </c>
      <c r="K176" t="str">
        <f t="shared" si="7"/>
        <v>1.82</v>
      </c>
    </row>
    <row r="177" ht="15.75" customHeight="1">
      <c r="B177" t="str">
        <f t="shared" si="1"/>
        <v>5440634.921</v>
      </c>
      <c r="C177" s="5" t="str">
        <f t="shared" si="8"/>
        <v>247.30%</v>
      </c>
      <c r="D177" t="str">
        <f t="shared" si="2"/>
        <v>1.44</v>
      </c>
      <c r="E177" t="str">
        <f t="shared" si="3"/>
        <v>9085860.317</v>
      </c>
      <c r="G177" t="str">
        <f t="shared" si="4"/>
        <v>1.67</v>
      </c>
      <c r="H177" t="str">
        <f t="shared" si="5"/>
        <v>9085860.317</v>
      </c>
      <c r="J177" t="str">
        <f t="shared" si="6"/>
        <v>si</v>
      </c>
      <c r="K177" t="str">
        <f t="shared" si="7"/>
        <v>1.82</v>
      </c>
    </row>
    <row r="178" ht="15.75" customHeight="1">
      <c r="B178" t="str">
        <f t="shared" si="1"/>
        <v>5462634.921</v>
      </c>
      <c r="C178" s="5" t="str">
        <f t="shared" si="8"/>
        <v>248.30%</v>
      </c>
      <c r="D178" t="str">
        <f t="shared" si="2"/>
        <v>1.44</v>
      </c>
      <c r="E178" t="str">
        <f t="shared" si="3"/>
        <v>9122600.317</v>
      </c>
      <c r="G178" t="str">
        <f t="shared" si="4"/>
        <v>1.67</v>
      </c>
      <c r="H178" t="str">
        <f t="shared" si="5"/>
        <v>9122600.317</v>
      </c>
      <c r="J178" t="str">
        <f t="shared" si="6"/>
        <v>si</v>
      </c>
      <c r="K178" t="str">
        <f t="shared" si="7"/>
        <v>1.82</v>
      </c>
    </row>
    <row r="179" ht="15.75" customHeight="1">
      <c r="B179" t="str">
        <f t="shared" si="1"/>
        <v>5484634.921</v>
      </c>
      <c r="C179" s="5" t="str">
        <f t="shared" si="8"/>
        <v>249.30%</v>
      </c>
      <c r="D179" t="str">
        <f t="shared" si="2"/>
        <v>1.44</v>
      </c>
      <c r="E179" t="str">
        <f t="shared" si="3"/>
        <v>9159340.317</v>
      </c>
      <c r="G179" t="str">
        <f t="shared" si="4"/>
        <v>1.67</v>
      </c>
      <c r="H179" t="str">
        <f t="shared" si="5"/>
        <v>9159340.317</v>
      </c>
      <c r="J179" t="str">
        <f t="shared" si="6"/>
        <v>si</v>
      </c>
      <c r="K179" t="str">
        <f t="shared" si="7"/>
        <v>1.82</v>
      </c>
    </row>
    <row r="180" ht="15.75" customHeight="1">
      <c r="B180" t="str">
        <f t="shared" si="1"/>
        <v>5506634.921</v>
      </c>
      <c r="C180" s="5" t="str">
        <f t="shared" si="8"/>
        <v>250.30%</v>
      </c>
      <c r="D180" t="str">
        <f t="shared" si="2"/>
        <v>1.44</v>
      </c>
      <c r="E180" t="str">
        <f t="shared" si="3"/>
        <v>9196080.317</v>
      </c>
      <c r="G180" t="str">
        <f t="shared" si="4"/>
        <v>1.67</v>
      </c>
      <c r="H180" t="str">
        <f t="shared" si="5"/>
        <v>9196080.317</v>
      </c>
      <c r="J180" t="str">
        <f t="shared" si="6"/>
        <v>si</v>
      </c>
      <c r="K180" t="str">
        <f t="shared" si="7"/>
        <v>1.82</v>
      </c>
    </row>
    <row r="181" ht="15.75" customHeight="1">
      <c r="B181" t="str">
        <f t="shared" si="1"/>
        <v>5528634.921</v>
      </c>
      <c r="C181" s="5" t="str">
        <f t="shared" si="8"/>
        <v>251.30%</v>
      </c>
      <c r="D181" t="str">
        <f t="shared" si="2"/>
        <v>1.44</v>
      </c>
      <c r="E181" t="str">
        <f t="shared" si="3"/>
        <v>9232820.317</v>
      </c>
      <c r="G181" t="str">
        <f t="shared" si="4"/>
        <v>1.67</v>
      </c>
      <c r="H181" t="str">
        <f t="shared" si="5"/>
        <v>9232820.317</v>
      </c>
      <c r="J181" t="str">
        <f t="shared" si="6"/>
        <v>si</v>
      </c>
      <c r="K181" t="str">
        <f t="shared" si="7"/>
        <v>1.82</v>
      </c>
    </row>
    <row r="182" ht="15.75" customHeight="1">
      <c r="B182" t="str">
        <f t="shared" si="1"/>
        <v>5550634.921</v>
      </c>
      <c r="C182" s="5" t="str">
        <f t="shared" si="8"/>
        <v>252.30%</v>
      </c>
      <c r="D182" t="str">
        <f t="shared" si="2"/>
        <v>1.44</v>
      </c>
      <c r="E182" t="str">
        <f t="shared" si="3"/>
        <v>9269560.317</v>
      </c>
      <c r="G182" t="str">
        <f t="shared" si="4"/>
        <v>1.67</v>
      </c>
      <c r="H182" t="str">
        <f t="shared" si="5"/>
        <v>9269560.317</v>
      </c>
      <c r="J182" t="str">
        <f t="shared" si="6"/>
        <v>si</v>
      </c>
      <c r="K182" t="str">
        <f t="shared" si="7"/>
        <v>1.82</v>
      </c>
    </row>
    <row r="183" ht="15.75" customHeight="1">
      <c r="B183" t="str">
        <f t="shared" si="1"/>
        <v>5572634.921</v>
      </c>
      <c r="C183" s="5" t="str">
        <f t="shared" si="8"/>
        <v>253.30%</v>
      </c>
      <c r="D183" t="str">
        <f t="shared" si="2"/>
        <v>1.44</v>
      </c>
      <c r="E183" t="str">
        <f t="shared" si="3"/>
        <v>9306300.317</v>
      </c>
      <c r="G183" t="str">
        <f t="shared" si="4"/>
        <v>1.67</v>
      </c>
      <c r="H183" t="str">
        <f t="shared" si="5"/>
        <v>9306300.317</v>
      </c>
      <c r="J183" t="str">
        <f t="shared" si="6"/>
        <v>si</v>
      </c>
      <c r="K183" t="str">
        <f t="shared" si="7"/>
        <v>1.82</v>
      </c>
    </row>
    <row r="184" ht="15.75" customHeight="1">
      <c r="B184" t="str">
        <f t="shared" si="1"/>
        <v>5594634.921</v>
      </c>
      <c r="C184" s="5" t="str">
        <f t="shared" si="8"/>
        <v>254.30%</v>
      </c>
      <c r="D184" t="str">
        <f t="shared" si="2"/>
        <v>1.44</v>
      </c>
      <c r="E184" t="str">
        <f t="shared" si="3"/>
        <v>9343040.317</v>
      </c>
      <c r="G184" t="str">
        <f t="shared" si="4"/>
        <v>1.67</v>
      </c>
      <c r="H184" t="str">
        <f t="shared" si="5"/>
        <v>9343040.317</v>
      </c>
      <c r="J184" t="str">
        <f t="shared" si="6"/>
        <v>si</v>
      </c>
      <c r="K184" t="str">
        <f t="shared" si="7"/>
        <v>1.82</v>
      </c>
    </row>
  </sheetData>
  <dataValidations>
    <dataValidation type="list" allowBlank="1" showErrorMessage="1" sqref="F3">
      <formula1>"Pago Anticipado Trimestre,Pago Anticipado año,Pago anticipadoSemestre,No aplica,VentasOro"</formula1>
    </dataValidation>
  </dataValidation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Hojas de cálculo</vt:lpstr>
      </vt:variant>
      <vt:variant>
        <vt:i4>7</vt:i4>
      </vt:variant>
    </vt:vector>
  </HeadingPairs>
  <TitlesOfParts>
    <vt:vector baseType="lpstr" size="7">
      <vt:lpstr>Hoja3</vt:lpstr>
      <vt:lpstr>vers</vt:lpstr>
      <vt:lpstr>versf</vt:lpstr>
      <vt:lpstr>Ejecutivo MI &gt; a 4 meses-Ppal</vt:lpstr>
      <vt:lpstr>Ejecutivo MI &gt; a 4 meses-Inter</vt:lpstr>
      <vt:lpstr>Ejecutivo MI &lt;= 4 meses-Ppal</vt:lpstr>
      <vt:lpstr>Ejecutivo MI &lt;= 4 meses-Inter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2026-01-26T13:41:26Z</dcterms:created>
  <dc:creator>Cristian Fabian Guaca Imbachi</dc:creator>
  <cp:lastModifiedBy>Cristian Fabian Guaca Imbachi</cp:lastModifiedBy>
  <dcterms:modified xsi:type="dcterms:W3CDTF">2026-02-24T21:31:25Z</dcterms:modified>
</cp:coreProperties>
</file>